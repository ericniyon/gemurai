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neille.n\Desktop\"/>
    </mc:Choice>
  </mc:AlternateContent>
  <xr:revisionPtr revIDLastSave="0" documentId="8_{F74B8BC7-3517-470D-8522-3FE41627A2AA}" xr6:coauthVersionLast="47" xr6:coauthVersionMax="47" xr10:uidLastSave="{00000000-0000-0000-0000-000000000000}"/>
  <bookViews>
    <workbookView xWindow="-108" yWindow="-108" windowWidth="23256" windowHeight="12576" xr2:uid="{48400AAA-6E4B-48BC-8672-586C2D0B2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0" i="1" l="1"/>
  <c r="AD40" i="1"/>
  <c r="AC40" i="1"/>
  <c r="AB40" i="1"/>
  <c r="AA40" i="1"/>
  <c r="Z40" i="1"/>
  <c r="Y40" i="1"/>
  <c r="X40" i="1"/>
  <c r="W40" i="1"/>
  <c r="V40" i="1"/>
  <c r="U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F39" i="1"/>
  <c r="R39" i="1"/>
  <c r="T39" i="1" s="1"/>
  <c r="AG39" i="1" s="1"/>
  <c r="AF38" i="1"/>
  <c r="R38" i="1"/>
  <c r="T38" i="1" s="1"/>
  <c r="AG38" i="1" s="1"/>
  <c r="AF37" i="1"/>
  <c r="R37" i="1"/>
  <c r="T37" i="1" s="1"/>
  <c r="AG37" i="1" s="1"/>
  <c r="AF36" i="1"/>
  <c r="T36" i="1"/>
  <c r="AG36" i="1" s="1"/>
  <c r="R36" i="1"/>
  <c r="AF35" i="1"/>
  <c r="R35" i="1"/>
  <c r="T35" i="1" s="1"/>
  <c r="AG35" i="1" s="1"/>
  <c r="AG34" i="1"/>
  <c r="AF34" i="1"/>
  <c r="T34" i="1"/>
  <c r="R34" i="1"/>
  <c r="AG33" i="1"/>
  <c r="AF33" i="1"/>
  <c r="T33" i="1"/>
  <c r="R33" i="1"/>
  <c r="AF32" i="1"/>
  <c r="R32" i="1"/>
  <c r="T32" i="1" s="1"/>
  <c r="AG32" i="1" s="1"/>
  <c r="AG31" i="1"/>
  <c r="AF31" i="1"/>
  <c r="T31" i="1"/>
  <c r="R31" i="1"/>
  <c r="AG30" i="1"/>
  <c r="AF30" i="1"/>
  <c r="T30" i="1"/>
  <c r="R30" i="1"/>
  <c r="AF29" i="1"/>
  <c r="R29" i="1"/>
  <c r="T29" i="1" s="1"/>
  <c r="AG29" i="1" s="1"/>
  <c r="AG28" i="1"/>
  <c r="AF28" i="1"/>
  <c r="T28" i="1"/>
  <c r="R28" i="1"/>
  <c r="AG27" i="1"/>
  <c r="AF27" i="1"/>
  <c r="T27" i="1"/>
  <c r="R27" i="1"/>
  <c r="AF26" i="1"/>
  <c r="R26" i="1"/>
  <c r="T26" i="1" s="1"/>
  <c r="AG26" i="1" s="1"/>
  <c r="AG25" i="1"/>
  <c r="AF25" i="1"/>
  <c r="T25" i="1"/>
  <c r="R25" i="1"/>
  <c r="AG24" i="1"/>
  <c r="AF24" i="1"/>
  <c r="T24" i="1"/>
  <c r="R24" i="1"/>
  <c r="AF23" i="1"/>
  <c r="R23" i="1"/>
  <c r="T23" i="1" s="1"/>
  <c r="AG23" i="1" s="1"/>
  <c r="AG22" i="1"/>
  <c r="AF22" i="1"/>
  <c r="T22" i="1"/>
  <c r="R22" i="1"/>
  <c r="AG21" i="1"/>
  <c r="AF21" i="1"/>
  <c r="T21" i="1"/>
  <c r="R21" i="1"/>
  <c r="AF20" i="1"/>
  <c r="R20" i="1"/>
  <c r="T20" i="1" s="1"/>
  <c r="AG20" i="1" s="1"/>
  <c r="AG19" i="1"/>
  <c r="AF19" i="1"/>
  <c r="T19" i="1"/>
  <c r="R19" i="1"/>
  <c r="AG18" i="1"/>
  <c r="AF18" i="1"/>
  <c r="T18" i="1"/>
  <c r="R18" i="1"/>
  <c r="AF17" i="1"/>
  <c r="R17" i="1"/>
  <c r="T17" i="1" s="1"/>
  <c r="AG17" i="1" s="1"/>
  <c r="AG16" i="1"/>
  <c r="AF16" i="1"/>
  <c r="T16" i="1"/>
  <c r="R16" i="1"/>
  <c r="AG15" i="1"/>
  <c r="AF15" i="1"/>
  <c r="T15" i="1"/>
  <c r="R15" i="1"/>
  <c r="AF14" i="1"/>
  <c r="R14" i="1"/>
  <c r="T14" i="1" s="1"/>
  <c r="AG14" i="1" s="1"/>
  <c r="AG13" i="1"/>
  <c r="AF13" i="1"/>
  <c r="T13" i="1"/>
  <c r="R13" i="1"/>
  <c r="AG12" i="1"/>
  <c r="AF12" i="1"/>
  <c r="T12" i="1"/>
  <c r="R12" i="1"/>
  <c r="AF11" i="1"/>
  <c r="R11" i="1"/>
  <c r="T11" i="1" s="1"/>
  <c r="AG11" i="1" s="1"/>
  <c r="AG10" i="1"/>
  <c r="AF10" i="1"/>
  <c r="T10" i="1"/>
  <c r="R10" i="1"/>
  <c r="AG9" i="1"/>
  <c r="AF9" i="1"/>
  <c r="T9" i="1"/>
  <c r="R9" i="1"/>
  <c r="AF8" i="1"/>
  <c r="R8" i="1"/>
  <c r="T8" i="1" s="1"/>
  <c r="AG8" i="1" s="1"/>
  <c r="AG7" i="1"/>
  <c r="AF7" i="1"/>
  <c r="T7" i="1"/>
  <c r="R7" i="1"/>
  <c r="AG6" i="1"/>
  <c r="AF6" i="1"/>
  <c r="T6" i="1"/>
  <c r="R6" i="1"/>
  <c r="AF5" i="1"/>
  <c r="R5" i="1"/>
  <c r="T5" i="1" s="1"/>
  <c r="AG5" i="1" s="1"/>
  <c r="AG4" i="1"/>
  <c r="AF4" i="1"/>
  <c r="AF40" i="1" s="1"/>
  <c r="T4" i="1"/>
  <c r="R4" i="1"/>
  <c r="R40" i="1" s="1"/>
  <c r="T40" i="1" s="1"/>
  <c r="AG40" i="1" l="1"/>
</calcChain>
</file>

<file path=xl/sharedStrings.xml><?xml version="1.0" encoding="utf-8"?>
<sst xmlns="http://schemas.openxmlformats.org/spreadsheetml/2006/main" count="56" uniqueCount="56">
  <si>
    <t>QUINZAINE  1</t>
  </si>
  <si>
    <t>AKATWA</t>
  </si>
  <si>
    <t>Net a Payer</t>
  </si>
  <si>
    <t>N°</t>
  </si>
  <si>
    <t>UMUCUNDA</t>
  </si>
  <si>
    <t>Igiteranyo (Litiro)</t>
  </si>
  <si>
    <t>Unit Price (Frw)</t>
  </si>
  <si>
    <t>TOTA (Frw)</t>
  </si>
  <si>
    <t>Depannage</t>
  </si>
  <si>
    <t>Ibipande</t>
  </si>
  <si>
    <t>Essence</t>
  </si>
  <si>
    <t>Imiti</t>
  </si>
  <si>
    <t>Umugabane</t>
  </si>
  <si>
    <t>Inguzanyo</t>
  </si>
  <si>
    <t>Ejo Heza</t>
  </si>
  <si>
    <t>Ibicuba</t>
  </si>
  <si>
    <t>Ibisarubeti</t>
  </si>
  <si>
    <t>Impapuro</t>
  </si>
  <si>
    <t>Avance</t>
  </si>
  <si>
    <t>Total yakaswe</t>
  </si>
  <si>
    <t>NDAGIJIMANA JMV</t>
  </si>
  <si>
    <t>NDABABONYE Vicent</t>
  </si>
  <si>
    <t>HAGENIMANA Samuel</t>
  </si>
  <si>
    <t>NIZEYIMANA Jean Baptiste</t>
  </si>
  <si>
    <t xml:space="preserve">BUTARE Theophille </t>
  </si>
  <si>
    <t>UMUHIRE Said</t>
  </si>
  <si>
    <t>NSHIMIYIMANA Faustin</t>
  </si>
  <si>
    <t>NSENGIYUMVA Alphonse</t>
  </si>
  <si>
    <t>NSHOZAMIHIGO Clement</t>
  </si>
  <si>
    <t>BYABARIMANA Emmanuel</t>
  </si>
  <si>
    <t>NYIRINKINDI Viateur</t>
  </si>
  <si>
    <t>MBARAGA Egide</t>
  </si>
  <si>
    <t>MAKAMBA Samuel</t>
  </si>
  <si>
    <t>SANO Innocent</t>
  </si>
  <si>
    <t>HAKIZIMANA Damas</t>
  </si>
  <si>
    <t>GAHIRE Emmanuel</t>
  </si>
  <si>
    <t>SEBUHORO Jean de Dieu</t>
  </si>
  <si>
    <t>MUGENZI Jean de Dieu</t>
  </si>
  <si>
    <t>ISHIMIRWE Theogene</t>
  </si>
  <si>
    <t>MUHIRWA Vicent</t>
  </si>
  <si>
    <t>HAKIZIMANA JMV</t>
  </si>
  <si>
    <t>MATABARO Anastase</t>
  </si>
  <si>
    <t>NZABANDORA Fabien</t>
  </si>
  <si>
    <t>COOP ZIRAKAMWA</t>
  </si>
  <si>
    <t>MUSANGANYA Leonard</t>
  </si>
  <si>
    <t>MUGABE Gerard</t>
  </si>
  <si>
    <t>HAKIZIMANA Daniel</t>
  </si>
  <si>
    <t>DABAGIRA Viateur</t>
  </si>
  <si>
    <t>HAKORIMANA Souvenir</t>
  </si>
  <si>
    <t>NGENDAHIMANA Bernard</t>
  </si>
  <si>
    <t>MBONYINSHUTI Alon</t>
  </si>
  <si>
    <t>MUNYESHYAKA Narcisse</t>
  </si>
  <si>
    <t>IRYAGARAGAYE Jackson</t>
  </si>
  <si>
    <t>HAKORIMANA Donatien</t>
  </si>
  <si>
    <t>MAZIMPAKA Eric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</si>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</sst>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0" fontId="3" fillId="4" borderId="1" xfId="0" applyFont="1" applyFill="1" applyBorder="1"/>
    <xf numFmtId="0" fontId="3" fillId="4" borderId="5" xfId="0" applyFont="1" applyFill="1" applyBorder="1"/>
    <xf numFmtId="0" fontId="4" fillId="2" borderId="5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5" borderId="7" xfId="0" applyFont="1" applyFill="1" applyBorder="1"/>
    <xf numFmtId="0" fontId="4" fillId="5" borderId="8" xfId="0" applyFont="1" applyFill="1" applyBorder="1"/>
    <xf numFmtId="0" fontId="4" fillId="5" borderId="9" xfId="0" applyFont="1" applyFill="1" applyBorder="1"/>
    <xf numFmtId="0" fontId="6" fillId="5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right"/>
    </xf>
    <xf numFmtId="0" fontId="6" fillId="5" borderId="9" xfId="0" applyFont="1" applyFill="1" applyBorder="1" applyAlignment="1">
      <alignment horizontal="right"/>
    </xf>
    <xf numFmtId="0" fontId="7" fillId="2" borderId="9" xfId="0" applyFont="1" applyFill="1" applyBorder="1" applyAlignment="1">
      <alignment horizontal="center"/>
    </xf>
    <xf numFmtId="164" fontId="7" fillId="3" borderId="10" xfId="1" applyNumberFormat="1" applyFont="1" applyFill="1" applyBorder="1" applyAlignment="1">
      <alignment horizontal="center"/>
    </xf>
    <xf numFmtId="164" fontId="7" fillId="5" borderId="11" xfId="1" applyNumberFormat="1" applyFont="1" applyFill="1" applyBorder="1" applyAlignment="1">
      <alignment horizontal="center"/>
    </xf>
    <xf numFmtId="164" fontId="7" fillId="5" borderId="12" xfId="1" applyNumberFormat="1" applyFont="1" applyFill="1" applyBorder="1" applyAlignment="1">
      <alignment horizontal="center"/>
    </xf>
    <xf numFmtId="164" fontId="7" fillId="2" borderId="12" xfId="1" applyNumberFormat="1" applyFont="1" applyFill="1" applyBorder="1" applyAlignment="1">
      <alignment horizontal="center"/>
    </xf>
    <xf numFmtId="164" fontId="7" fillId="3" borderId="13" xfId="1" applyNumberFormat="1" applyFont="1" applyFill="1" applyBorder="1" applyAlignment="1">
      <alignment horizontal="center"/>
    </xf>
    <xf numFmtId="0" fontId="3" fillId="5" borderId="14" xfId="0" applyFont="1" applyFill="1" applyBorder="1"/>
    <xf numFmtId="0" fontId="4" fillId="5" borderId="15" xfId="0" applyFont="1" applyFill="1" applyBorder="1"/>
    <xf numFmtId="0" fontId="6" fillId="5" borderId="16" xfId="0" applyFont="1" applyFill="1" applyBorder="1" applyAlignment="1">
      <alignment horizontal="center"/>
    </xf>
    <xf numFmtId="0" fontId="4" fillId="5" borderId="16" xfId="0" applyFont="1" applyFill="1" applyBorder="1"/>
    <xf numFmtId="0" fontId="4" fillId="5" borderId="16" xfId="0" applyFont="1" applyFill="1" applyBorder="1" applyAlignment="1">
      <alignment horizontal="right"/>
    </xf>
    <xf numFmtId="0" fontId="6" fillId="5" borderId="16" xfId="0" applyFont="1" applyFill="1" applyBorder="1" applyAlignment="1">
      <alignment horizontal="right"/>
    </xf>
    <xf numFmtId="164" fontId="7" fillId="5" borderId="15" xfId="1" applyNumberFormat="1" applyFont="1" applyFill="1" applyBorder="1" applyAlignment="1">
      <alignment horizontal="center"/>
    </xf>
    <xf numFmtId="164" fontId="7" fillId="5" borderId="16" xfId="1" applyNumberFormat="1" applyFont="1" applyFill="1" applyBorder="1" applyAlignment="1">
      <alignment horizontal="center"/>
    </xf>
    <xf numFmtId="0" fontId="8" fillId="5" borderId="14" xfId="0" applyFont="1" applyFill="1" applyBorder="1"/>
    <xf numFmtId="0" fontId="9" fillId="5" borderId="15" xfId="0" applyFont="1" applyFill="1" applyBorder="1"/>
    <xf numFmtId="0" fontId="9" fillId="5" borderId="16" xfId="0" applyFont="1" applyFill="1" applyBorder="1"/>
    <xf numFmtId="0" fontId="6" fillId="5" borderId="16" xfId="0" applyFont="1" applyFill="1" applyBorder="1" applyAlignment="1">
      <alignment horizontal="left"/>
    </xf>
    <xf numFmtId="0" fontId="3" fillId="5" borderId="17" xfId="0" applyFont="1" applyFill="1" applyBorder="1"/>
    <xf numFmtId="0" fontId="4" fillId="5" borderId="18" xfId="0" applyFont="1" applyFill="1" applyBorder="1"/>
    <xf numFmtId="0" fontId="4" fillId="5" borderId="19" xfId="0" applyFont="1" applyFill="1" applyBorder="1"/>
    <xf numFmtId="0" fontId="6" fillId="5" borderId="19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right"/>
    </xf>
    <xf numFmtId="0" fontId="7" fillId="2" borderId="20" xfId="0" applyFont="1" applyFill="1" applyBorder="1" applyAlignment="1">
      <alignment horizontal="center"/>
    </xf>
    <xf numFmtId="164" fontId="7" fillId="3" borderId="21" xfId="1" applyNumberFormat="1" applyFont="1" applyFill="1" applyBorder="1" applyAlignment="1">
      <alignment horizontal="center"/>
    </xf>
    <xf numFmtId="164" fontId="7" fillId="5" borderId="18" xfId="1" applyNumberFormat="1" applyFont="1" applyFill="1" applyBorder="1" applyAlignment="1">
      <alignment horizontal="center"/>
    </xf>
    <xf numFmtId="164" fontId="7" fillId="5" borderId="19" xfId="1" applyNumberFormat="1" applyFont="1" applyFill="1" applyBorder="1" applyAlignment="1">
      <alignment horizontal="center"/>
    </xf>
    <xf numFmtId="164" fontId="7" fillId="2" borderId="22" xfId="1" applyNumberFormat="1" applyFont="1" applyFill="1" applyBorder="1" applyAlignment="1">
      <alignment horizontal="center"/>
    </xf>
    <xf numFmtId="164" fontId="7" fillId="3" borderId="23" xfId="1" applyNumberFormat="1" applyFont="1" applyFill="1" applyBorder="1" applyAlignment="1">
      <alignment horizontal="center"/>
    </xf>
    <xf numFmtId="0" fontId="10" fillId="3" borderId="24" xfId="0" applyFont="1" applyFill="1" applyBorder="1"/>
    <xf numFmtId="0" fontId="10" fillId="3" borderId="25" xfId="0" applyFont="1" applyFill="1" applyBorder="1"/>
    <xf numFmtId="164" fontId="10" fillId="3" borderId="24" xfId="1" applyNumberFormat="1" applyFont="1" applyFill="1" applyBorder="1"/>
    <xf numFmtId="164" fontId="10" fillId="3" borderId="25" xfId="1" applyNumberFormat="1" applyFont="1" applyFill="1" applyBorder="1"/>
    <xf numFmtId="164" fontId="10" fillId="3" borderId="26" xfId="1" applyNumberFormat="1" applyFont="1" applyFill="1" applyBorder="1" applyAlignment="1">
      <alignment horizontal="center"/>
    </xf>
    <xf numFmtId="164" fontId="10" fillId="3" borderId="24" xfId="1" applyNumberFormat="1" applyFont="1" applyFill="1" applyBorder="1" applyAlignment="1">
      <alignment horizontal="center"/>
    </xf>
    <xf numFmtId="164" fontId="10" fillId="3" borderId="5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FBE38-33DF-4815-81D3-FC7BAA2E9D38}">
  <dimension ref="A1:AG40"/>
  <sheetViews>
    <sheetView tabSelected="1" workbookViewId="0">
      <selection sqref="A1:XFD1048576"/>
    </sheetView>
  </sheetViews>
  <sheetFormatPr defaultColWidth="9" defaultRowHeight="14.4" x14ac:dyDescent="0.3"/>
  <cols>
    <col min="1" max="1" width="2.5546875" customWidth="1"/>
    <col min="2" max="2" width="23.88671875" customWidth="1"/>
    <col min="3" max="3" width="7" customWidth="1"/>
    <col min="4" max="4" width="6" customWidth="1"/>
    <col min="5" max="5" width="6.33203125" customWidth="1"/>
    <col min="6" max="6" width="6.5546875" customWidth="1"/>
    <col min="7" max="7" width="7.109375" customWidth="1"/>
    <col min="8" max="9" width="7" customWidth="1"/>
    <col min="10" max="10" width="7.109375" customWidth="1"/>
    <col min="11" max="11" width="6.88671875" customWidth="1"/>
    <col min="12" max="13" width="6.88671875" bestFit="1" customWidth="1"/>
    <col min="14" max="15" width="7" customWidth="1"/>
    <col min="16" max="16" width="6.88671875" customWidth="1"/>
    <col min="17" max="17" width="7" customWidth="1"/>
    <col min="18" max="18" width="7.6640625" bestFit="1" customWidth="1"/>
    <col min="19" max="19" width="7.109375" customWidth="1"/>
    <col min="20" max="20" width="10.109375" customWidth="1"/>
    <col min="21" max="21" width="8.5546875" customWidth="1"/>
    <col min="22" max="22" width="7.6640625" bestFit="1" customWidth="1"/>
    <col min="23" max="23" width="7.44140625" customWidth="1"/>
    <col min="24" max="24" width="8.6640625" bestFit="1" customWidth="1"/>
    <col min="25" max="25" width="8.33203125" customWidth="1"/>
    <col min="26" max="26" width="7.109375" customWidth="1"/>
    <col min="27" max="27" width="6.109375" customWidth="1"/>
    <col min="28" max="28" width="6.6640625" customWidth="1"/>
    <col min="29" max="30" width="7.5546875" customWidth="1"/>
    <col min="31" max="31" width="8.6640625" bestFit="1" customWidth="1"/>
    <col min="32" max="32" width="8.6640625" customWidth="1"/>
    <col min="33" max="33" width="13.44140625" customWidth="1"/>
  </cols>
  <sheetData>
    <row r="1" spans="1:33" ht="15" thickBot="1" x14ac:dyDescent="0.35"/>
    <row r="2" spans="1:33" ht="18.600000000000001" thickBot="1" x14ac:dyDescent="0.4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  <c r="U2" s="1" t="s">
        <v>1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4" t="s">
        <v>2</v>
      </c>
    </row>
    <row r="3" spans="1:33" ht="22.8" thickBot="1" x14ac:dyDescent="0.35">
      <c r="A3" s="5" t="s">
        <v>3</v>
      </c>
      <c r="B3" s="6" t="s">
        <v>4</v>
      </c>
      <c r="C3" s="7">
        <v>1</v>
      </c>
      <c r="D3" s="7">
        <v>2</v>
      </c>
      <c r="E3" s="7">
        <v>3</v>
      </c>
      <c r="F3" s="7">
        <v>4</v>
      </c>
      <c r="G3" s="7">
        <v>5</v>
      </c>
      <c r="H3" s="7">
        <v>6</v>
      </c>
      <c r="I3" s="7">
        <v>7</v>
      </c>
      <c r="J3" s="7">
        <v>8</v>
      </c>
      <c r="K3" s="7">
        <v>9</v>
      </c>
      <c r="L3" s="7">
        <v>10</v>
      </c>
      <c r="M3" s="7">
        <v>11</v>
      </c>
      <c r="N3" s="7">
        <v>12</v>
      </c>
      <c r="O3" s="7">
        <v>13</v>
      </c>
      <c r="P3" s="7">
        <v>14</v>
      </c>
      <c r="Q3" s="7">
        <v>15</v>
      </c>
      <c r="R3" s="8" t="s">
        <v>5</v>
      </c>
      <c r="S3" s="8" t="s">
        <v>6</v>
      </c>
      <c r="T3" s="9" t="s">
        <v>7</v>
      </c>
      <c r="U3" s="10" t="s">
        <v>8</v>
      </c>
      <c r="V3" s="10" t="s">
        <v>9</v>
      </c>
      <c r="W3" s="10" t="s">
        <v>10</v>
      </c>
      <c r="X3" s="10" t="s">
        <v>11</v>
      </c>
      <c r="Y3" s="10" t="s">
        <v>12</v>
      </c>
      <c r="Z3" s="10" t="s">
        <v>13</v>
      </c>
      <c r="AA3" s="10" t="s">
        <v>14</v>
      </c>
      <c r="AB3" s="10" t="s">
        <v>15</v>
      </c>
      <c r="AC3" s="10" t="s">
        <v>16</v>
      </c>
      <c r="AD3" s="10" t="s">
        <v>17</v>
      </c>
      <c r="AE3" s="10" t="s">
        <v>18</v>
      </c>
      <c r="AF3" s="10" t="s">
        <v>19</v>
      </c>
      <c r="AG3" s="11"/>
    </row>
    <row r="4" spans="1:33" ht="15" thickBot="1" x14ac:dyDescent="0.35">
      <c r="A4" s="12">
        <v>1</v>
      </c>
      <c r="B4" s="12" t="s">
        <v>20</v>
      </c>
      <c r="C4" s="13">
        <v>225</v>
      </c>
      <c r="D4" s="14">
        <v>269</v>
      </c>
      <c r="E4" s="14">
        <v>305</v>
      </c>
      <c r="F4" s="15">
        <v>286</v>
      </c>
      <c r="G4" s="14">
        <v>282</v>
      </c>
      <c r="H4" s="14">
        <v>266</v>
      </c>
      <c r="I4" s="15">
        <v>300</v>
      </c>
      <c r="J4" s="15">
        <v>268</v>
      </c>
      <c r="K4" s="14">
        <v>285</v>
      </c>
      <c r="L4" s="14">
        <v>280</v>
      </c>
      <c r="M4" s="14">
        <v>289</v>
      </c>
      <c r="N4" s="14">
        <v>296</v>
      </c>
      <c r="O4" s="14">
        <v>300</v>
      </c>
      <c r="P4" s="16">
        <v>293</v>
      </c>
      <c r="Q4" s="17">
        <v>290</v>
      </c>
      <c r="R4" s="18">
        <f>+SUM(C4:Q4)</f>
        <v>4234</v>
      </c>
      <c r="S4" s="18">
        <v>190</v>
      </c>
      <c r="T4" s="19">
        <f>+R4*S4</f>
        <v>804460</v>
      </c>
      <c r="U4" s="20">
        <v>0</v>
      </c>
      <c r="V4" s="21">
        <v>3500</v>
      </c>
      <c r="W4" s="21">
        <v>4200</v>
      </c>
      <c r="X4" s="21">
        <v>600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2">
        <f>+SUM(U4:AE4)</f>
        <v>8300</v>
      </c>
      <c r="AG4" s="23">
        <f>+T4-AF4</f>
        <v>796160</v>
      </c>
    </row>
    <row r="5" spans="1:33" ht="15" thickBot="1" x14ac:dyDescent="0.35">
      <c r="A5" s="12">
        <v>2</v>
      </c>
      <c r="B5" s="24" t="s">
        <v>21</v>
      </c>
      <c r="C5" s="25">
        <v>56</v>
      </c>
      <c r="D5" s="26">
        <v>58</v>
      </c>
      <c r="E5" s="27">
        <v>82</v>
      </c>
      <c r="F5" s="26">
        <v>70</v>
      </c>
      <c r="G5" s="27">
        <v>70</v>
      </c>
      <c r="H5" s="27">
        <v>74</v>
      </c>
      <c r="I5" s="27">
        <v>80</v>
      </c>
      <c r="J5" s="28">
        <v>71</v>
      </c>
      <c r="K5" s="27">
        <v>80</v>
      </c>
      <c r="L5" s="27">
        <v>71</v>
      </c>
      <c r="M5" s="27">
        <v>82</v>
      </c>
      <c r="N5" s="26">
        <v>82</v>
      </c>
      <c r="O5" s="27">
        <v>69</v>
      </c>
      <c r="P5" s="29">
        <v>66</v>
      </c>
      <c r="Q5" s="29">
        <v>79</v>
      </c>
      <c r="R5" s="18">
        <f>+SUM(C5:Q5)</f>
        <v>1090</v>
      </c>
      <c r="S5" s="18">
        <v>190</v>
      </c>
      <c r="T5" s="19">
        <f>+R5*S5</f>
        <v>207100</v>
      </c>
      <c r="U5" s="30"/>
      <c r="V5" s="31">
        <v>1500</v>
      </c>
      <c r="W5" s="31"/>
      <c r="X5" s="31"/>
      <c r="Y5" s="31"/>
      <c r="Z5" s="31"/>
      <c r="AA5" s="31"/>
      <c r="AB5" s="31"/>
      <c r="AC5" s="31"/>
      <c r="AD5" s="31"/>
      <c r="AE5" s="31"/>
      <c r="AF5" s="22">
        <f>+SUM(U5:AE5)</f>
        <v>1500</v>
      </c>
      <c r="AG5" s="23">
        <f>+T5-AF5</f>
        <v>205600</v>
      </c>
    </row>
    <row r="6" spans="1:33" ht="15" thickBot="1" x14ac:dyDescent="0.35">
      <c r="A6" s="12">
        <v>3</v>
      </c>
      <c r="B6" s="32" t="s">
        <v>22</v>
      </c>
      <c r="C6" s="33">
        <v>88</v>
      </c>
      <c r="D6" s="34">
        <v>148</v>
      </c>
      <c r="E6" s="34">
        <v>93</v>
      </c>
      <c r="F6" s="34">
        <v>105</v>
      </c>
      <c r="G6" s="34">
        <v>83</v>
      </c>
      <c r="H6" s="26">
        <v>110</v>
      </c>
      <c r="I6" s="27">
        <v>77</v>
      </c>
      <c r="J6" s="27">
        <v>84</v>
      </c>
      <c r="K6" s="27">
        <v>118</v>
      </c>
      <c r="L6" s="27">
        <v>98</v>
      </c>
      <c r="M6" s="27">
        <v>77</v>
      </c>
      <c r="N6" s="27">
        <v>81</v>
      </c>
      <c r="O6" s="34">
        <v>111</v>
      </c>
      <c r="P6" s="29">
        <v>76</v>
      </c>
      <c r="Q6" s="29">
        <v>98</v>
      </c>
      <c r="R6" s="18">
        <f>+SUM(C6:Q6)</f>
        <v>1447</v>
      </c>
      <c r="S6" s="18">
        <v>190</v>
      </c>
      <c r="T6" s="19">
        <f>+R6*S6</f>
        <v>274930</v>
      </c>
      <c r="U6" s="30"/>
      <c r="V6" s="31">
        <v>2500</v>
      </c>
      <c r="W6" s="31"/>
      <c r="X6" s="31">
        <v>1200</v>
      </c>
      <c r="Y6" s="31"/>
      <c r="Z6" s="31"/>
      <c r="AA6" s="31"/>
      <c r="AB6" s="31"/>
      <c r="AC6" s="31"/>
      <c r="AD6" s="31"/>
      <c r="AE6" s="31"/>
      <c r="AF6" s="22">
        <f>+SUM(U6:AE6)</f>
        <v>3700</v>
      </c>
      <c r="AG6" s="23">
        <f>+T6-AF6</f>
        <v>271230</v>
      </c>
    </row>
    <row r="7" spans="1:33" ht="15" thickBot="1" x14ac:dyDescent="0.35">
      <c r="A7" s="12">
        <v>4</v>
      </c>
      <c r="B7" s="24" t="s">
        <v>23</v>
      </c>
      <c r="C7" s="25">
        <v>297</v>
      </c>
      <c r="D7" s="35">
        <v>308</v>
      </c>
      <c r="E7" s="26">
        <v>301</v>
      </c>
      <c r="F7" s="26">
        <v>307</v>
      </c>
      <c r="G7" s="27">
        <v>324</v>
      </c>
      <c r="H7" s="27">
        <v>266</v>
      </c>
      <c r="I7" s="27">
        <v>265</v>
      </c>
      <c r="J7" s="27">
        <v>257</v>
      </c>
      <c r="K7" s="27">
        <v>342</v>
      </c>
      <c r="L7" s="26">
        <v>373</v>
      </c>
      <c r="M7" s="35">
        <v>326</v>
      </c>
      <c r="N7" s="27">
        <v>337</v>
      </c>
      <c r="O7" s="27">
        <v>306</v>
      </c>
      <c r="P7" s="29">
        <v>295</v>
      </c>
      <c r="Q7" s="29">
        <v>309</v>
      </c>
      <c r="R7" s="18">
        <f t="shared" ref="R7:R39" si="0">+SUM(C7:Q7)</f>
        <v>4613</v>
      </c>
      <c r="S7" s="18">
        <v>190</v>
      </c>
      <c r="T7" s="19">
        <f t="shared" ref="T7:T40" si="1">+R7*S7</f>
        <v>876470</v>
      </c>
      <c r="U7" s="30"/>
      <c r="V7" s="31">
        <v>3000</v>
      </c>
      <c r="W7" s="31"/>
      <c r="X7" s="31">
        <v>29100</v>
      </c>
      <c r="Y7" s="31"/>
      <c r="Z7" s="31"/>
      <c r="AA7" s="31"/>
      <c r="AB7" s="31"/>
      <c r="AC7" s="31"/>
      <c r="AD7" s="31"/>
      <c r="AE7" s="31"/>
      <c r="AF7" s="22">
        <f t="shared" ref="AF7:AF39" si="2">+SUM(U7:AE7)</f>
        <v>32100</v>
      </c>
      <c r="AG7" s="23">
        <f t="shared" ref="AG7:AG39" si="3">+T7-AF7</f>
        <v>844370</v>
      </c>
    </row>
    <row r="8" spans="1:33" ht="15" thickBot="1" x14ac:dyDescent="0.35">
      <c r="A8" s="12">
        <v>5</v>
      </c>
      <c r="B8" s="24" t="s">
        <v>24</v>
      </c>
      <c r="C8" s="25">
        <v>85</v>
      </c>
      <c r="D8" s="27">
        <v>93</v>
      </c>
      <c r="E8" s="27">
        <v>99</v>
      </c>
      <c r="F8" s="27">
        <v>105</v>
      </c>
      <c r="G8" s="27">
        <v>105</v>
      </c>
      <c r="H8" s="27">
        <v>95</v>
      </c>
      <c r="I8" s="27">
        <v>102</v>
      </c>
      <c r="J8" s="27">
        <v>107</v>
      </c>
      <c r="K8" s="27">
        <v>98</v>
      </c>
      <c r="L8" s="26">
        <v>53</v>
      </c>
      <c r="M8" s="27">
        <v>72</v>
      </c>
      <c r="N8" s="27">
        <v>90</v>
      </c>
      <c r="O8" s="27">
        <v>85</v>
      </c>
      <c r="P8" s="28">
        <v>100</v>
      </c>
      <c r="Q8" s="28">
        <v>104</v>
      </c>
      <c r="R8" s="18">
        <f t="shared" si="0"/>
        <v>1393</v>
      </c>
      <c r="S8" s="18">
        <v>190</v>
      </c>
      <c r="T8" s="19">
        <f t="shared" si="1"/>
        <v>264670</v>
      </c>
      <c r="U8" s="30">
        <v>10500</v>
      </c>
      <c r="V8" s="31">
        <v>1250</v>
      </c>
      <c r="W8" s="31"/>
      <c r="X8" s="31">
        <v>13300</v>
      </c>
      <c r="Y8" s="31"/>
      <c r="Z8" s="31"/>
      <c r="AA8" s="31"/>
      <c r="AB8" s="31"/>
      <c r="AC8" s="31"/>
      <c r="AD8" s="31"/>
      <c r="AE8" s="31"/>
      <c r="AF8" s="22">
        <f t="shared" si="2"/>
        <v>25050</v>
      </c>
      <c r="AG8" s="23">
        <f t="shared" si="3"/>
        <v>239620</v>
      </c>
    </row>
    <row r="9" spans="1:33" ht="15" thickBot="1" x14ac:dyDescent="0.35">
      <c r="A9" s="12">
        <v>6</v>
      </c>
      <c r="B9" s="24" t="s">
        <v>25</v>
      </c>
      <c r="C9" s="25">
        <v>191</v>
      </c>
      <c r="D9" s="27">
        <v>289</v>
      </c>
      <c r="E9" s="27">
        <v>305</v>
      </c>
      <c r="F9" s="27">
        <v>307</v>
      </c>
      <c r="G9" s="27">
        <v>307</v>
      </c>
      <c r="H9" s="27">
        <v>316</v>
      </c>
      <c r="I9" s="27">
        <v>332</v>
      </c>
      <c r="J9" s="27">
        <v>292</v>
      </c>
      <c r="K9" s="27">
        <v>292</v>
      </c>
      <c r="L9" s="26">
        <v>321</v>
      </c>
      <c r="M9" s="27">
        <v>325</v>
      </c>
      <c r="N9" s="27">
        <v>339</v>
      </c>
      <c r="O9" s="27">
        <v>336</v>
      </c>
      <c r="P9" s="28">
        <v>341</v>
      </c>
      <c r="Q9" s="27">
        <v>295</v>
      </c>
      <c r="R9" s="18">
        <f t="shared" si="0"/>
        <v>4588</v>
      </c>
      <c r="S9" s="18">
        <v>190</v>
      </c>
      <c r="T9" s="19">
        <f t="shared" si="1"/>
        <v>871720</v>
      </c>
      <c r="U9" s="30">
        <v>7500</v>
      </c>
      <c r="V9" s="31">
        <v>4500</v>
      </c>
      <c r="W9" s="31">
        <v>17500</v>
      </c>
      <c r="X9" s="31">
        <v>14800</v>
      </c>
      <c r="Y9" s="31"/>
      <c r="Z9" s="31"/>
      <c r="AA9" s="31"/>
      <c r="AB9" s="31"/>
      <c r="AC9" s="31"/>
      <c r="AD9" s="31"/>
      <c r="AE9" s="31"/>
      <c r="AF9" s="22">
        <f t="shared" si="2"/>
        <v>44300</v>
      </c>
      <c r="AG9" s="23">
        <f t="shared" si="3"/>
        <v>827420</v>
      </c>
    </row>
    <row r="10" spans="1:33" ht="15" thickBot="1" x14ac:dyDescent="0.35">
      <c r="A10" s="12">
        <v>7</v>
      </c>
      <c r="B10" s="24" t="s">
        <v>26</v>
      </c>
      <c r="C10" s="25">
        <v>86</v>
      </c>
      <c r="D10" s="27">
        <v>104</v>
      </c>
      <c r="E10" s="27">
        <v>108</v>
      </c>
      <c r="F10" s="27">
        <v>111</v>
      </c>
      <c r="G10" s="27">
        <v>115</v>
      </c>
      <c r="H10" s="27">
        <v>96</v>
      </c>
      <c r="I10" s="27">
        <v>103</v>
      </c>
      <c r="J10" s="27">
        <v>101</v>
      </c>
      <c r="K10" s="27">
        <v>117</v>
      </c>
      <c r="L10" s="26">
        <v>104</v>
      </c>
      <c r="M10" s="27">
        <v>112</v>
      </c>
      <c r="N10" s="27">
        <v>100</v>
      </c>
      <c r="O10" s="27">
        <v>107</v>
      </c>
      <c r="P10" s="28">
        <v>119</v>
      </c>
      <c r="Q10" s="27">
        <v>98</v>
      </c>
      <c r="R10" s="18">
        <f t="shared" si="0"/>
        <v>1581</v>
      </c>
      <c r="S10" s="18">
        <v>190</v>
      </c>
      <c r="T10" s="19">
        <f t="shared" si="1"/>
        <v>300390</v>
      </c>
      <c r="U10" s="30"/>
      <c r="V10" s="31">
        <v>500</v>
      </c>
      <c r="W10" s="31"/>
      <c r="X10" s="31">
        <v>10850</v>
      </c>
      <c r="Y10" s="31"/>
      <c r="Z10" s="31"/>
      <c r="AA10" s="31"/>
      <c r="AB10" s="31"/>
      <c r="AC10" s="31"/>
      <c r="AD10" s="31"/>
      <c r="AE10" s="31"/>
      <c r="AF10" s="22">
        <f t="shared" si="2"/>
        <v>11350</v>
      </c>
      <c r="AG10" s="23">
        <f t="shared" si="3"/>
        <v>289040</v>
      </c>
    </row>
    <row r="11" spans="1:33" ht="15" thickBot="1" x14ac:dyDescent="0.35">
      <c r="A11" s="12">
        <v>8</v>
      </c>
      <c r="B11" s="24" t="s">
        <v>27</v>
      </c>
      <c r="C11" s="25">
        <v>270</v>
      </c>
      <c r="D11" s="27">
        <v>286</v>
      </c>
      <c r="E11" s="27">
        <v>348</v>
      </c>
      <c r="F11" s="27">
        <v>353</v>
      </c>
      <c r="G11" s="27">
        <v>365</v>
      </c>
      <c r="H11" s="27">
        <v>335</v>
      </c>
      <c r="I11" s="27">
        <v>356</v>
      </c>
      <c r="J11" s="27">
        <v>342</v>
      </c>
      <c r="K11" s="27">
        <v>332</v>
      </c>
      <c r="L11" s="26">
        <v>341</v>
      </c>
      <c r="M11" s="27">
        <v>346</v>
      </c>
      <c r="N11" s="27">
        <v>360</v>
      </c>
      <c r="O11" s="27">
        <v>382</v>
      </c>
      <c r="P11" s="28">
        <v>360</v>
      </c>
      <c r="Q11" s="27">
        <v>348</v>
      </c>
      <c r="R11" s="18">
        <f t="shared" si="0"/>
        <v>5124</v>
      </c>
      <c r="S11" s="18">
        <v>190</v>
      </c>
      <c r="T11" s="19">
        <f t="shared" si="1"/>
        <v>973560</v>
      </c>
      <c r="U11" s="30">
        <v>7500</v>
      </c>
      <c r="V11" s="31">
        <v>3950</v>
      </c>
      <c r="W11" s="31"/>
      <c r="X11" s="31">
        <v>13050</v>
      </c>
      <c r="Y11" s="31"/>
      <c r="Z11" s="31"/>
      <c r="AA11" s="31"/>
      <c r="AB11" s="31"/>
      <c r="AC11" s="31"/>
      <c r="AD11" s="31"/>
      <c r="AE11" s="31"/>
      <c r="AF11" s="22">
        <f t="shared" si="2"/>
        <v>24500</v>
      </c>
      <c r="AG11" s="23">
        <f t="shared" si="3"/>
        <v>949060</v>
      </c>
    </row>
    <row r="12" spans="1:33" ht="15" thickBot="1" x14ac:dyDescent="0.35">
      <c r="A12" s="12">
        <v>9</v>
      </c>
      <c r="B12" s="24" t="s">
        <v>28</v>
      </c>
      <c r="C12" s="25">
        <v>50</v>
      </c>
      <c r="D12" s="27">
        <v>50</v>
      </c>
      <c r="E12" s="27">
        <v>50</v>
      </c>
      <c r="F12" s="27">
        <v>50</v>
      </c>
      <c r="G12" s="27">
        <v>50</v>
      </c>
      <c r="H12" s="27">
        <v>50</v>
      </c>
      <c r="I12" s="27">
        <v>50</v>
      </c>
      <c r="J12" s="27">
        <v>50</v>
      </c>
      <c r="K12" s="27">
        <v>50</v>
      </c>
      <c r="L12" s="26">
        <v>50</v>
      </c>
      <c r="M12" s="27">
        <v>50</v>
      </c>
      <c r="N12" s="27">
        <v>50</v>
      </c>
      <c r="O12" s="27">
        <v>0</v>
      </c>
      <c r="P12" s="28">
        <v>0</v>
      </c>
      <c r="Q12" s="27">
        <v>0</v>
      </c>
      <c r="R12" s="18">
        <f t="shared" si="0"/>
        <v>600</v>
      </c>
      <c r="S12" s="18">
        <v>190</v>
      </c>
      <c r="T12" s="19">
        <f t="shared" si="1"/>
        <v>114000</v>
      </c>
      <c r="U12" s="30"/>
      <c r="V12" s="31">
        <v>0</v>
      </c>
      <c r="W12" s="31"/>
      <c r="X12" s="31"/>
      <c r="Y12" s="31"/>
      <c r="Z12" s="31"/>
      <c r="AA12" s="31"/>
      <c r="AB12" s="31"/>
      <c r="AC12" s="31"/>
      <c r="AD12" s="31"/>
      <c r="AE12" s="31"/>
      <c r="AF12" s="22">
        <f t="shared" si="2"/>
        <v>0</v>
      </c>
      <c r="AG12" s="23">
        <f t="shared" si="3"/>
        <v>114000</v>
      </c>
    </row>
    <row r="13" spans="1:33" ht="15" thickBot="1" x14ac:dyDescent="0.35">
      <c r="A13" s="12">
        <v>10</v>
      </c>
      <c r="B13" s="24" t="s">
        <v>29</v>
      </c>
      <c r="C13" s="25">
        <v>102</v>
      </c>
      <c r="D13" s="27">
        <v>95</v>
      </c>
      <c r="E13" s="27">
        <v>93</v>
      </c>
      <c r="F13" s="27">
        <v>135</v>
      </c>
      <c r="G13" s="27">
        <v>128</v>
      </c>
      <c r="H13" s="27">
        <v>89</v>
      </c>
      <c r="I13" s="27">
        <v>104</v>
      </c>
      <c r="J13" s="27">
        <v>116</v>
      </c>
      <c r="K13" s="27">
        <v>87</v>
      </c>
      <c r="L13" s="26">
        <v>110</v>
      </c>
      <c r="M13" s="27">
        <v>118</v>
      </c>
      <c r="N13" s="27">
        <v>111</v>
      </c>
      <c r="O13" s="27">
        <v>115</v>
      </c>
      <c r="P13" s="28">
        <v>111</v>
      </c>
      <c r="Q13" s="27">
        <v>131</v>
      </c>
      <c r="R13" s="18">
        <f t="shared" si="0"/>
        <v>1645</v>
      </c>
      <c r="S13" s="18">
        <v>190</v>
      </c>
      <c r="T13" s="19">
        <f t="shared" si="1"/>
        <v>312550</v>
      </c>
      <c r="U13" s="30"/>
      <c r="V13" s="31">
        <v>1500</v>
      </c>
      <c r="W13" s="31"/>
      <c r="X13" s="31"/>
      <c r="Y13" s="31"/>
      <c r="Z13" s="31"/>
      <c r="AA13" s="31"/>
      <c r="AB13" s="31"/>
      <c r="AC13" s="31"/>
      <c r="AD13" s="31"/>
      <c r="AE13" s="31">
        <v>100000</v>
      </c>
      <c r="AF13" s="22">
        <f t="shared" si="2"/>
        <v>101500</v>
      </c>
      <c r="AG13" s="23">
        <f t="shared" si="3"/>
        <v>211050</v>
      </c>
    </row>
    <row r="14" spans="1:33" ht="15" thickBot="1" x14ac:dyDescent="0.35">
      <c r="A14" s="12">
        <v>11</v>
      </c>
      <c r="B14" s="24" t="s">
        <v>30</v>
      </c>
      <c r="C14" s="25">
        <v>129</v>
      </c>
      <c r="D14" s="27">
        <v>62</v>
      </c>
      <c r="E14" s="27">
        <v>204</v>
      </c>
      <c r="F14" s="27">
        <v>236</v>
      </c>
      <c r="G14" s="27">
        <v>189</v>
      </c>
      <c r="H14" s="27">
        <v>174</v>
      </c>
      <c r="I14" s="27">
        <v>222</v>
      </c>
      <c r="J14" s="27">
        <v>200</v>
      </c>
      <c r="K14" s="27">
        <v>203</v>
      </c>
      <c r="L14" s="26">
        <v>175</v>
      </c>
      <c r="M14" s="27">
        <v>222</v>
      </c>
      <c r="N14" s="27">
        <v>240</v>
      </c>
      <c r="O14" s="27">
        <v>164</v>
      </c>
      <c r="P14" s="28">
        <v>266</v>
      </c>
      <c r="Q14" s="27">
        <v>176</v>
      </c>
      <c r="R14" s="18">
        <f t="shared" si="0"/>
        <v>2862</v>
      </c>
      <c r="S14" s="18">
        <v>190</v>
      </c>
      <c r="T14" s="19">
        <f t="shared" si="1"/>
        <v>543780</v>
      </c>
      <c r="U14" s="30"/>
      <c r="V14" s="31">
        <v>1000</v>
      </c>
      <c r="W14" s="31"/>
      <c r="X14" s="31"/>
      <c r="Y14" s="31"/>
      <c r="Z14" s="31"/>
      <c r="AA14" s="31"/>
      <c r="AB14" s="31"/>
      <c r="AC14" s="31"/>
      <c r="AD14" s="31"/>
      <c r="AE14" s="31"/>
      <c r="AF14" s="22">
        <f t="shared" si="2"/>
        <v>1000</v>
      </c>
      <c r="AG14" s="23">
        <f t="shared" si="3"/>
        <v>542780</v>
      </c>
    </row>
    <row r="15" spans="1:33" ht="15" thickBot="1" x14ac:dyDescent="0.35">
      <c r="A15" s="12">
        <v>12</v>
      </c>
      <c r="B15" s="24" t="s">
        <v>31</v>
      </c>
      <c r="C15" s="25">
        <v>13</v>
      </c>
      <c r="D15" s="27">
        <v>0</v>
      </c>
      <c r="E15" s="27">
        <v>26</v>
      </c>
      <c r="F15" s="27">
        <v>25</v>
      </c>
      <c r="G15" s="27">
        <v>20</v>
      </c>
      <c r="H15" s="27">
        <v>26</v>
      </c>
      <c r="I15" s="27">
        <v>24</v>
      </c>
      <c r="J15" s="27">
        <v>20</v>
      </c>
      <c r="K15" s="27">
        <v>23</v>
      </c>
      <c r="L15" s="26">
        <v>20</v>
      </c>
      <c r="M15" s="27">
        <v>23</v>
      </c>
      <c r="N15" s="27">
        <v>24</v>
      </c>
      <c r="O15" s="27">
        <v>0</v>
      </c>
      <c r="P15" s="28">
        <v>35</v>
      </c>
      <c r="Q15" s="27">
        <v>30</v>
      </c>
      <c r="R15" s="18">
        <f t="shared" si="0"/>
        <v>309</v>
      </c>
      <c r="S15" s="18">
        <v>190</v>
      </c>
      <c r="T15" s="19">
        <f t="shared" si="1"/>
        <v>58710</v>
      </c>
      <c r="U15" s="30"/>
      <c r="V15" s="31">
        <v>500</v>
      </c>
      <c r="W15" s="31"/>
      <c r="X15" s="31">
        <v>5000</v>
      </c>
      <c r="Y15" s="31"/>
      <c r="Z15" s="31"/>
      <c r="AA15" s="31"/>
      <c r="AB15" s="31"/>
      <c r="AC15" s="31"/>
      <c r="AD15" s="31"/>
      <c r="AE15" s="31"/>
      <c r="AF15" s="22">
        <f t="shared" si="2"/>
        <v>5500</v>
      </c>
      <c r="AG15" s="23">
        <f t="shared" si="3"/>
        <v>53210</v>
      </c>
    </row>
    <row r="16" spans="1:33" ht="15" thickBot="1" x14ac:dyDescent="0.35">
      <c r="A16" s="12">
        <v>13</v>
      </c>
      <c r="B16" s="24" t="s">
        <v>32</v>
      </c>
      <c r="C16" s="25">
        <v>230</v>
      </c>
      <c r="D16" s="27">
        <v>229</v>
      </c>
      <c r="E16" s="27">
        <v>243</v>
      </c>
      <c r="F16" s="27">
        <v>264</v>
      </c>
      <c r="G16" s="27">
        <v>268</v>
      </c>
      <c r="H16" s="27">
        <v>307</v>
      </c>
      <c r="I16" s="27">
        <v>296</v>
      </c>
      <c r="J16" s="27">
        <v>252</v>
      </c>
      <c r="K16" s="27">
        <v>237</v>
      </c>
      <c r="L16" s="26">
        <v>281</v>
      </c>
      <c r="M16" s="27">
        <v>263</v>
      </c>
      <c r="N16" s="27">
        <v>288</v>
      </c>
      <c r="O16" s="27">
        <v>281</v>
      </c>
      <c r="P16" s="28">
        <v>274</v>
      </c>
      <c r="Q16" s="27">
        <v>297</v>
      </c>
      <c r="R16" s="18">
        <f t="shared" si="0"/>
        <v>4010</v>
      </c>
      <c r="S16" s="18">
        <v>190</v>
      </c>
      <c r="T16" s="19">
        <f t="shared" si="1"/>
        <v>761900</v>
      </c>
      <c r="U16" s="30"/>
      <c r="V16" s="31">
        <v>2000</v>
      </c>
      <c r="W16" s="31"/>
      <c r="X16" s="31"/>
      <c r="Y16" s="31"/>
      <c r="Z16" s="31"/>
      <c r="AA16" s="31"/>
      <c r="AB16" s="31"/>
      <c r="AC16" s="31"/>
      <c r="AD16" s="31"/>
      <c r="AE16" s="31"/>
      <c r="AF16" s="22">
        <f t="shared" si="2"/>
        <v>2000</v>
      </c>
      <c r="AG16" s="23">
        <f t="shared" si="3"/>
        <v>759900</v>
      </c>
    </row>
    <row r="17" spans="1:33" ht="15" thickBot="1" x14ac:dyDescent="0.35">
      <c r="A17" s="12">
        <v>14</v>
      </c>
      <c r="B17" s="24" t="s">
        <v>33</v>
      </c>
      <c r="C17" s="25">
        <v>54</v>
      </c>
      <c r="D17" s="27">
        <v>90</v>
      </c>
      <c r="E17" s="27">
        <v>93</v>
      </c>
      <c r="F17" s="27">
        <v>90</v>
      </c>
      <c r="G17" s="27">
        <v>98</v>
      </c>
      <c r="H17" s="27">
        <v>97</v>
      </c>
      <c r="I17" s="27">
        <v>97</v>
      </c>
      <c r="J17" s="27">
        <v>97</v>
      </c>
      <c r="K17" s="27">
        <v>95</v>
      </c>
      <c r="L17" s="26">
        <v>97</v>
      </c>
      <c r="M17" s="27">
        <v>96</v>
      </c>
      <c r="N17" s="27">
        <v>96</v>
      </c>
      <c r="O17" s="27">
        <v>98</v>
      </c>
      <c r="P17" s="28">
        <v>99</v>
      </c>
      <c r="Q17" s="27">
        <v>97</v>
      </c>
      <c r="R17" s="18">
        <f t="shared" si="0"/>
        <v>1394</v>
      </c>
      <c r="S17" s="18">
        <v>190</v>
      </c>
      <c r="T17" s="19">
        <f t="shared" si="1"/>
        <v>264860</v>
      </c>
      <c r="U17" s="30"/>
      <c r="V17" s="31">
        <v>1000</v>
      </c>
      <c r="W17" s="31"/>
      <c r="X17" s="31"/>
      <c r="Y17" s="31"/>
      <c r="Z17" s="31"/>
      <c r="AA17" s="31"/>
      <c r="AB17" s="31"/>
      <c r="AC17" s="31"/>
      <c r="AD17" s="31"/>
      <c r="AE17" s="31"/>
      <c r="AF17" s="22">
        <f t="shared" si="2"/>
        <v>1000</v>
      </c>
      <c r="AG17" s="23">
        <f t="shared" si="3"/>
        <v>263860</v>
      </c>
    </row>
    <row r="18" spans="1:33" ht="15" thickBot="1" x14ac:dyDescent="0.35">
      <c r="A18" s="12">
        <v>15</v>
      </c>
      <c r="B18" s="24" t="s">
        <v>34</v>
      </c>
      <c r="C18" s="25">
        <v>527</v>
      </c>
      <c r="D18" s="27">
        <v>612</v>
      </c>
      <c r="E18" s="27">
        <v>521</v>
      </c>
      <c r="F18" s="27">
        <v>570</v>
      </c>
      <c r="G18" s="27">
        <v>574</v>
      </c>
      <c r="H18" s="27">
        <v>594</v>
      </c>
      <c r="I18" s="27">
        <v>594</v>
      </c>
      <c r="J18" s="27">
        <v>672</v>
      </c>
      <c r="K18" s="27">
        <v>556</v>
      </c>
      <c r="L18" s="26">
        <v>585</v>
      </c>
      <c r="M18" s="27">
        <v>547</v>
      </c>
      <c r="N18" s="27">
        <v>575</v>
      </c>
      <c r="O18" s="27">
        <v>516</v>
      </c>
      <c r="P18" s="28">
        <v>546</v>
      </c>
      <c r="Q18" s="27">
        <v>602</v>
      </c>
      <c r="R18" s="18">
        <f t="shared" si="0"/>
        <v>8591</v>
      </c>
      <c r="S18" s="18">
        <v>190</v>
      </c>
      <c r="T18" s="19">
        <f t="shared" si="1"/>
        <v>1632290</v>
      </c>
      <c r="U18" s="30"/>
      <c r="V18" s="31">
        <v>6500</v>
      </c>
      <c r="W18" s="31"/>
      <c r="X18" s="31"/>
      <c r="Y18" s="31"/>
      <c r="Z18" s="31"/>
      <c r="AA18" s="31"/>
      <c r="AB18" s="31"/>
      <c r="AC18" s="31"/>
      <c r="AD18" s="31"/>
      <c r="AE18" s="31"/>
      <c r="AF18" s="22">
        <f t="shared" si="2"/>
        <v>6500</v>
      </c>
      <c r="AG18" s="23">
        <f t="shared" si="3"/>
        <v>1625790</v>
      </c>
    </row>
    <row r="19" spans="1:33" ht="15" thickBot="1" x14ac:dyDescent="0.35">
      <c r="A19" s="12">
        <v>16</v>
      </c>
      <c r="B19" s="24" t="s">
        <v>35</v>
      </c>
      <c r="C19" s="25">
        <v>65</v>
      </c>
      <c r="D19" s="27">
        <v>97</v>
      </c>
      <c r="E19" s="27">
        <v>100</v>
      </c>
      <c r="F19" s="27">
        <v>138</v>
      </c>
      <c r="G19" s="27">
        <v>11</v>
      </c>
      <c r="H19" s="27">
        <v>43</v>
      </c>
      <c r="I19" s="27">
        <v>38</v>
      </c>
      <c r="J19" s="27">
        <v>28</v>
      </c>
      <c r="K19" s="27">
        <v>48</v>
      </c>
      <c r="L19" s="26">
        <v>17</v>
      </c>
      <c r="M19" s="27">
        <v>14</v>
      </c>
      <c r="N19" s="27">
        <v>28</v>
      </c>
      <c r="O19" s="27">
        <v>41</v>
      </c>
      <c r="P19" s="28">
        <v>63</v>
      </c>
      <c r="Q19" s="27">
        <v>66</v>
      </c>
      <c r="R19" s="18">
        <f t="shared" si="0"/>
        <v>797</v>
      </c>
      <c r="S19" s="18">
        <v>190</v>
      </c>
      <c r="T19" s="19">
        <f t="shared" si="1"/>
        <v>151430</v>
      </c>
      <c r="U19" s="30"/>
      <c r="V19" s="31">
        <v>1000</v>
      </c>
      <c r="W19" s="31"/>
      <c r="X19" s="31">
        <v>1700</v>
      </c>
      <c r="Y19" s="31"/>
      <c r="Z19" s="31"/>
      <c r="AA19" s="31"/>
      <c r="AB19" s="31"/>
      <c r="AC19" s="31"/>
      <c r="AD19" s="31"/>
      <c r="AE19" s="31">
        <v>40000</v>
      </c>
      <c r="AF19" s="22">
        <f t="shared" si="2"/>
        <v>42700</v>
      </c>
      <c r="AG19" s="23">
        <f t="shared" si="3"/>
        <v>108730</v>
      </c>
    </row>
    <row r="20" spans="1:33" ht="15" thickBot="1" x14ac:dyDescent="0.35">
      <c r="A20" s="12">
        <v>17</v>
      </c>
      <c r="B20" s="24" t="s">
        <v>36</v>
      </c>
      <c r="C20" s="25">
        <v>0</v>
      </c>
      <c r="D20" s="27">
        <v>65</v>
      </c>
      <c r="E20" s="27">
        <v>0</v>
      </c>
      <c r="F20" s="27">
        <v>94</v>
      </c>
      <c r="G20" s="27">
        <v>85</v>
      </c>
      <c r="H20" s="27">
        <v>88</v>
      </c>
      <c r="I20" s="27">
        <v>80</v>
      </c>
      <c r="J20" s="27">
        <v>0</v>
      </c>
      <c r="K20" s="27">
        <v>0</v>
      </c>
      <c r="L20" s="26">
        <v>0</v>
      </c>
      <c r="M20" s="27">
        <v>105</v>
      </c>
      <c r="N20" s="27">
        <v>103</v>
      </c>
      <c r="O20" s="27">
        <v>143</v>
      </c>
      <c r="P20" s="28">
        <v>136</v>
      </c>
      <c r="Q20" s="27">
        <v>105</v>
      </c>
      <c r="R20" s="18">
        <f t="shared" si="0"/>
        <v>1004</v>
      </c>
      <c r="S20" s="18">
        <v>200</v>
      </c>
      <c r="T20" s="19">
        <f t="shared" si="1"/>
        <v>200800</v>
      </c>
      <c r="U20" s="30"/>
      <c r="V20" s="31">
        <v>0</v>
      </c>
      <c r="W20" s="31"/>
      <c r="X20" s="31"/>
      <c r="Y20" s="31"/>
      <c r="Z20" s="31"/>
      <c r="AA20" s="31"/>
      <c r="AB20" s="31"/>
      <c r="AC20" s="31"/>
      <c r="AD20" s="31"/>
      <c r="AE20" s="31"/>
      <c r="AF20" s="22">
        <f t="shared" si="2"/>
        <v>0</v>
      </c>
      <c r="AG20" s="23">
        <f t="shared" si="3"/>
        <v>200800</v>
      </c>
    </row>
    <row r="21" spans="1:33" ht="15" thickBot="1" x14ac:dyDescent="0.35">
      <c r="A21" s="12">
        <v>18</v>
      </c>
      <c r="B21" s="24" t="s">
        <v>37</v>
      </c>
      <c r="C21" s="25">
        <v>50</v>
      </c>
      <c r="D21" s="27">
        <v>50</v>
      </c>
      <c r="E21" s="27">
        <v>48</v>
      </c>
      <c r="F21" s="27">
        <v>50</v>
      </c>
      <c r="G21" s="27">
        <v>50</v>
      </c>
      <c r="H21" s="27">
        <v>47</v>
      </c>
      <c r="I21" s="27">
        <v>50</v>
      </c>
      <c r="J21" s="27">
        <v>50</v>
      </c>
      <c r="K21" s="27">
        <v>50</v>
      </c>
      <c r="L21" s="26">
        <v>53</v>
      </c>
      <c r="M21" s="27">
        <v>50</v>
      </c>
      <c r="N21" s="27">
        <v>50</v>
      </c>
      <c r="O21" s="27">
        <v>50</v>
      </c>
      <c r="P21" s="28">
        <v>50</v>
      </c>
      <c r="Q21" s="27">
        <v>42</v>
      </c>
      <c r="R21" s="18">
        <f t="shared" si="0"/>
        <v>740</v>
      </c>
      <c r="S21" s="18">
        <v>190</v>
      </c>
      <c r="T21" s="19">
        <f t="shared" si="1"/>
        <v>140600</v>
      </c>
      <c r="U21" s="30">
        <v>10500</v>
      </c>
      <c r="V21" s="31">
        <v>500</v>
      </c>
      <c r="W21" s="31"/>
      <c r="X21" s="31"/>
      <c r="Y21" s="31"/>
      <c r="Z21" s="31"/>
      <c r="AA21" s="31"/>
      <c r="AB21" s="31"/>
      <c r="AC21" s="31"/>
      <c r="AD21" s="31"/>
      <c r="AE21" s="31"/>
      <c r="AF21" s="22">
        <f t="shared" si="2"/>
        <v>11000</v>
      </c>
      <c r="AG21" s="23">
        <f t="shared" si="3"/>
        <v>129600</v>
      </c>
    </row>
    <row r="22" spans="1:33" ht="15" thickBot="1" x14ac:dyDescent="0.35">
      <c r="A22" s="12">
        <v>19</v>
      </c>
      <c r="B22" s="24" t="s">
        <v>38</v>
      </c>
      <c r="C22" s="25">
        <v>377</v>
      </c>
      <c r="D22" s="27">
        <v>336</v>
      </c>
      <c r="E22" s="27">
        <v>445</v>
      </c>
      <c r="F22" s="27">
        <v>411</v>
      </c>
      <c r="G22" s="27">
        <v>390</v>
      </c>
      <c r="H22" s="27">
        <v>418</v>
      </c>
      <c r="I22" s="27">
        <v>430</v>
      </c>
      <c r="J22" s="27">
        <v>386</v>
      </c>
      <c r="K22" s="27">
        <v>385</v>
      </c>
      <c r="L22" s="26">
        <v>367</v>
      </c>
      <c r="M22" s="27">
        <v>386</v>
      </c>
      <c r="N22" s="27">
        <v>402</v>
      </c>
      <c r="O22" s="27">
        <v>438</v>
      </c>
      <c r="P22" s="28">
        <v>420</v>
      </c>
      <c r="Q22" s="27">
        <v>471</v>
      </c>
      <c r="R22" s="18">
        <f t="shared" si="0"/>
        <v>6062</v>
      </c>
      <c r="S22" s="18">
        <v>190</v>
      </c>
      <c r="T22" s="19">
        <f t="shared" si="1"/>
        <v>1151780</v>
      </c>
      <c r="U22" s="30">
        <v>7500</v>
      </c>
      <c r="V22" s="31">
        <v>2000</v>
      </c>
      <c r="W22" s="31"/>
      <c r="X22" s="31">
        <v>7450</v>
      </c>
      <c r="Y22" s="31"/>
      <c r="Z22" s="31"/>
      <c r="AA22" s="31"/>
      <c r="AB22" s="31"/>
      <c r="AC22" s="31"/>
      <c r="AD22" s="31"/>
      <c r="AE22" s="31"/>
      <c r="AF22" s="22">
        <f t="shared" si="2"/>
        <v>16950</v>
      </c>
      <c r="AG22" s="23">
        <f t="shared" si="3"/>
        <v>1134830</v>
      </c>
    </row>
    <row r="23" spans="1:33" ht="15" thickBot="1" x14ac:dyDescent="0.35">
      <c r="A23" s="12">
        <v>20</v>
      </c>
      <c r="B23" s="24" t="s">
        <v>39</v>
      </c>
      <c r="C23" s="25">
        <v>141</v>
      </c>
      <c r="D23" s="27">
        <v>163</v>
      </c>
      <c r="E23" s="27">
        <v>138</v>
      </c>
      <c r="F23" s="27">
        <v>152</v>
      </c>
      <c r="G23" s="27">
        <v>150</v>
      </c>
      <c r="H23" s="27">
        <v>158</v>
      </c>
      <c r="I23" s="27">
        <v>169</v>
      </c>
      <c r="J23" s="27">
        <v>161</v>
      </c>
      <c r="K23" s="27">
        <v>181</v>
      </c>
      <c r="L23" s="26">
        <v>190</v>
      </c>
      <c r="M23" s="27">
        <v>203</v>
      </c>
      <c r="N23" s="27">
        <v>193</v>
      </c>
      <c r="O23" s="27">
        <v>164</v>
      </c>
      <c r="P23" s="28">
        <v>185</v>
      </c>
      <c r="Q23" s="27">
        <v>175</v>
      </c>
      <c r="R23" s="18">
        <f t="shared" si="0"/>
        <v>2523</v>
      </c>
      <c r="S23" s="18">
        <v>190</v>
      </c>
      <c r="T23" s="19">
        <f t="shared" si="1"/>
        <v>479370</v>
      </c>
      <c r="U23" s="30">
        <v>0</v>
      </c>
      <c r="V23" s="31">
        <v>1000</v>
      </c>
      <c r="W23" s="31">
        <v>4200</v>
      </c>
      <c r="X23" s="31">
        <v>3900</v>
      </c>
      <c r="Y23" s="31"/>
      <c r="Z23" s="31"/>
      <c r="AA23" s="31"/>
      <c r="AB23" s="31"/>
      <c r="AC23" s="31"/>
      <c r="AD23" s="31"/>
      <c r="AE23" s="31"/>
      <c r="AF23" s="22">
        <f t="shared" si="2"/>
        <v>9100</v>
      </c>
      <c r="AG23" s="23">
        <f t="shared" si="3"/>
        <v>470270</v>
      </c>
    </row>
    <row r="24" spans="1:33" ht="15" thickBot="1" x14ac:dyDescent="0.35">
      <c r="A24" s="12">
        <v>21</v>
      </c>
      <c r="B24" s="24" t="s">
        <v>40</v>
      </c>
      <c r="C24" s="25">
        <v>36</v>
      </c>
      <c r="D24" s="27">
        <v>0</v>
      </c>
      <c r="E24" s="27">
        <v>63</v>
      </c>
      <c r="F24" s="27">
        <v>120</v>
      </c>
      <c r="G24" s="27">
        <v>141</v>
      </c>
      <c r="H24" s="27">
        <v>111</v>
      </c>
      <c r="I24" s="27">
        <v>108</v>
      </c>
      <c r="J24" s="27">
        <v>107</v>
      </c>
      <c r="K24" s="27">
        <v>80</v>
      </c>
      <c r="L24" s="26">
        <v>100</v>
      </c>
      <c r="M24" s="27">
        <v>75</v>
      </c>
      <c r="N24" s="27">
        <v>112</v>
      </c>
      <c r="O24" s="27">
        <v>90</v>
      </c>
      <c r="P24" s="28">
        <v>38</v>
      </c>
      <c r="Q24" s="27">
        <v>125</v>
      </c>
      <c r="R24" s="18">
        <f t="shared" si="0"/>
        <v>1306</v>
      </c>
      <c r="S24" s="18">
        <v>190</v>
      </c>
      <c r="T24" s="19">
        <f t="shared" si="1"/>
        <v>248140</v>
      </c>
      <c r="U24" s="30">
        <v>14000</v>
      </c>
      <c r="V24" s="31">
        <v>2000</v>
      </c>
      <c r="W24" s="31"/>
      <c r="X24" s="31">
        <v>8500</v>
      </c>
      <c r="Y24" s="31"/>
      <c r="Z24" s="31"/>
      <c r="AA24" s="31"/>
      <c r="AB24" s="31"/>
      <c r="AC24" s="31"/>
      <c r="AD24" s="31"/>
      <c r="AE24" s="31"/>
      <c r="AF24" s="22">
        <f t="shared" si="2"/>
        <v>24500</v>
      </c>
      <c r="AG24" s="23">
        <f t="shared" si="3"/>
        <v>223640</v>
      </c>
    </row>
    <row r="25" spans="1:33" ht="15" thickBot="1" x14ac:dyDescent="0.35">
      <c r="A25" s="12">
        <v>22</v>
      </c>
      <c r="B25" s="24" t="s">
        <v>41</v>
      </c>
      <c r="C25" s="25">
        <v>429</v>
      </c>
      <c r="D25" s="27">
        <v>490</v>
      </c>
      <c r="E25" s="27">
        <v>550</v>
      </c>
      <c r="F25" s="27">
        <v>541</v>
      </c>
      <c r="G25" s="27">
        <v>493</v>
      </c>
      <c r="H25" s="27">
        <v>565</v>
      </c>
      <c r="I25" s="27">
        <v>541</v>
      </c>
      <c r="J25" s="27">
        <v>548</v>
      </c>
      <c r="K25" s="27">
        <v>526</v>
      </c>
      <c r="L25" s="26">
        <v>532</v>
      </c>
      <c r="M25" s="27">
        <v>544</v>
      </c>
      <c r="N25" s="27">
        <v>514</v>
      </c>
      <c r="O25" s="27">
        <v>549</v>
      </c>
      <c r="P25" s="28">
        <v>560</v>
      </c>
      <c r="Q25" s="27">
        <v>560</v>
      </c>
      <c r="R25" s="18">
        <f t="shared" si="0"/>
        <v>7942</v>
      </c>
      <c r="S25" s="18">
        <v>190</v>
      </c>
      <c r="T25" s="19">
        <f t="shared" si="1"/>
        <v>1508980</v>
      </c>
      <c r="U25" s="30">
        <v>0</v>
      </c>
      <c r="V25" s="31">
        <v>6000</v>
      </c>
      <c r="W25" s="31"/>
      <c r="X25" s="31">
        <v>33150</v>
      </c>
      <c r="Y25" s="31"/>
      <c r="Z25" s="31"/>
      <c r="AA25" s="31"/>
      <c r="AB25" s="31"/>
      <c r="AC25" s="31"/>
      <c r="AD25" s="31"/>
      <c r="AE25" s="31"/>
      <c r="AF25" s="22">
        <f t="shared" si="2"/>
        <v>39150</v>
      </c>
      <c r="AG25" s="23">
        <f t="shared" si="3"/>
        <v>1469830</v>
      </c>
    </row>
    <row r="26" spans="1:33" ht="15" thickBot="1" x14ac:dyDescent="0.35">
      <c r="A26" s="12">
        <v>23</v>
      </c>
      <c r="B26" s="24" t="s">
        <v>42</v>
      </c>
      <c r="C26" s="25">
        <v>124</v>
      </c>
      <c r="D26" s="27">
        <v>197</v>
      </c>
      <c r="E26" s="27">
        <v>16</v>
      </c>
      <c r="F26" s="27">
        <v>248</v>
      </c>
      <c r="G26" s="27">
        <v>161</v>
      </c>
      <c r="H26" s="27">
        <v>161</v>
      </c>
      <c r="I26" s="27">
        <v>177</v>
      </c>
      <c r="J26" s="27">
        <v>130</v>
      </c>
      <c r="K26" s="27">
        <v>149</v>
      </c>
      <c r="L26" s="26">
        <v>92</v>
      </c>
      <c r="M26" s="27">
        <v>116</v>
      </c>
      <c r="N26" s="27">
        <v>148</v>
      </c>
      <c r="O26" s="27">
        <v>167</v>
      </c>
      <c r="P26" s="28">
        <v>136</v>
      </c>
      <c r="Q26" s="27">
        <v>348</v>
      </c>
      <c r="R26" s="18">
        <f t="shared" si="0"/>
        <v>2370</v>
      </c>
      <c r="S26" s="18">
        <v>190</v>
      </c>
      <c r="T26" s="19">
        <f t="shared" si="1"/>
        <v>450300</v>
      </c>
      <c r="U26" s="30">
        <v>0</v>
      </c>
      <c r="V26" s="31">
        <v>500</v>
      </c>
      <c r="W26" s="31"/>
      <c r="X26" s="31">
        <v>6000</v>
      </c>
      <c r="Y26" s="31"/>
      <c r="Z26" s="31"/>
      <c r="AA26" s="31"/>
      <c r="AB26" s="31"/>
      <c r="AC26" s="31"/>
      <c r="AD26" s="31"/>
      <c r="AE26" s="31"/>
      <c r="AF26" s="22">
        <f t="shared" si="2"/>
        <v>6500</v>
      </c>
      <c r="AG26" s="23">
        <f t="shared" si="3"/>
        <v>443800</v>
      </c>
    </row>
    <row r="27" spans="1:33" ht="15" thickBot="1" x14ac:dyDescent="0.35">
      <c r="A27" s="12">
        <v>24</v>
      </c>
      <c r="B27" s="24" t="s">
        <v>43</v>
      </c>
      <c r="C27" s="25">
        <v>189</v>
      </c>
      <c r="D27" s="27">
        <v>185</v>
      </c>
      <c r="E27" s="27">
        <v>376</v>
      </c>
      <c r="F27" s="27">
        <v>174</v>
      </c>
      <c r="G27" s="27">
        <v>186</v>
      </c>
      <c r="H27" s="27">
        <v>187</v>
      </c>
      <c r="I27" s="27">
        <v>186</v>
      </c>
      <c r="J27" s="27">
        <v>201</v>
      </c>
      <c r="K27" s="27">
        <v>190</v>
      </c>
      <c r="L27" s="26">
        <v>210</v>
      </c>
      <c r="M27" s="27">
        <v>209</v>
      </c>
      <c r="N27" s="27">
        <v>199</v>
      </c>
      <c r="O27" s="27">
        <v>185</v>
      </c>
      <c r="P27" s="28">
        <v>196</v>
      </c>
      <c r="Q27" s="27">
        <v>0</v>
      </c>
      <c r="R27" s="18">
        <f t="shared" si="0"/>
        <v>2873</v>
      </c>
      <c r="S27" s="18">
        <v>190</v>
      </c>
      <c r="T27" s="19">
        <f t="shared" si="1"/>
        <v>545870</v>
      </c>
      <c r="U27" s="30">
        <v>0</v>
      </c>
      <c r="V27" s="31">
        <v>0</v>
      </c>
      <c r="W27" s="31"/>
      <c r="X27" s="31"/>
      <c r="Y27" s="31"/>
      <c r="Z27" s="31"/>
      <c r="AA27" s="31"/>
      <c r="AB27" s="31"/>
      <c r="AC27" s="31"/>
      <c r="AD27" s="31"/>
      <c r="AE27" s="31"/>
      <c r="AF27" s="22">
        <f t="shared" si="2"/>
        <v>0</v>
      </c>
      <c r="AG27" s="23">
        <f t="shared" si="3"/>
        <v>545870</v>
      </c>
    </row>
    <row r="28" spans="1:33" ht="15" thickBot="1" x14ac:dyDescent="0.35">
      <c r="A28" s="12">
        <v>25</v>
      </c>
      <c r="B28" s="24" t="s">
        <v>44</v>
      </c>
      <c r="C28" s="25">
        <v>37</v>
      </c>
      <c r="D28" s="27">
        <v>47</v>
      </c>
      <c r="E28" s="27">
        <v>78</v>
      </c>
      <c r="F28" s="27">
        <v>84</v>
      </c>
      <c r="G28" s="27">
        <v>84</v>
      </c>
      <c r="H28" s="27">
        <v>26</v>
      </c>
      <c r="I28" s="27">
        <v>0</v>
      </c>
      <c r="J28" s="27">
        <v>64</v>
      </c>
      <c r="K28" s="27">
        <v>67</v>
      </c>
      <c r="L28" s="26">
        <v>63</v>
      </c>
      <c r="M28" s="27">
        <v>77</v>
      </c>
      <c r="N28" s="27">
        <v>84</v>
      </c>
      <c r="O28" s="27">
        <v>76</v>
      </c>
      <c r="P28" s="28">
        <v>90</v>
      </c>
      <c r="Q28" s="27">
        <v>62</v>
      </c>
      <c r="R28" s="18">
        <f t="shared" si="0"/>
        <v>939</v>
      </c>
      <c r="S28" s="18">
        <v>190</v>
      </c>
      <c r="T28" s="19">
        <f t="shared" si="1"/>
        <v>178410</v>
      </c>
      <c r="U28" s="30">
        <v>9800</v>
      </c>
      <c r="V28" s="31">
        <v>900</v>
      </c>
      <c r="W28" s="31"/>
      <c r="X28" s="31"/>
      <c r="Y28" s="31"/>
      <c r="Z28" s="31"/>
      <c r="AA28" s="31"/>
      <c r="AB28" s="31"/>
      <c r="AC28" s="31"/>
      <c r="AD28" s="31"/>
      <c r="AE28" s="31"/>
      <c r="AF28" s="22">
        <f t="shared" si="2"/>
        <v>10700</v>
      </c>
      <c r="AG28" s="23">
        <f t="shared" si="3"/>
        <v>167710</v>
      </c>
    </row>
    <row r="29" spans="1:33" ht="15" thickBot="1" x14ac:dyDescent="0.35">
      <c r="A29" s="12">
        <v>26</v>
      </c>
      <c r="B29" s="24" t="s">
        <v>45</v>
      </c>
      <c r="C29" s="25">
        <v>65</v>
      </c>
      <c r="D29" s="27">
        <v>90</v>
      </c>
      <c r="E29" s="27">
        <v>65</v>
      </c>
      <c r="F29" s="27">
        <v>69</v>
      </c>
      <c r="G29" s="27">
        <v>55</v>
      </c>
      <c r="H29" s="27">
        <v>80</v>
      </c>
      <c r="I29" s="27">
        <v>83</v>
      </c>
      <c r="J29" s="27">
        <v>80</v>
      </c>
      <c r="K29" s="27">
        <v>75</v>
      </c>
      <c r="L29" s="26">
        <v>67</v>
      </c>
      <c r="M29" s="27">
        <v>75</v>
      </c>
      <c r="N29" s="27">
        <v>72</v>
      </c>
      <c r="O29" s="27">
        <v>106</v>
      </c>
      <c r="P29" s="28">
        <v>65</v>
      </c>
      <c r="Q29" s="27">
        <v>84</v>
      </c>
      <c r="R29" s="18">
        <f t="shared" si="0"/>
        <v>1131</v>
      </c>
      <c r="S29" s="18">
        <v>190</v>
      </c>
      <c r="T29" s="19">
        <f t="shared" si="1"/>
        <v>214890</v>
      </c>
      <c r="U29" s="30">
        <v>7500</v>
      </c>
      <c r="V29" s="31">
        <v>500</v>
      </c>
      <c r="W29" s="31"/>
      <c r="X29" s="31">
        <v>1200</v>
      </c>
      <c r="Y29" s="31"/>
      <c r="Z29" s="31"/>
      <c r="AA29" s="31"/>
      <c r="AB29" s="31"/>
      <c r="AC29" s="31"/>
      <c r="AD29" s="31"/>
      <c r="AE29" s="31"/>
      <c r="AF29" s="22">
        <f t="shared" si="2"/>
        <v>9200</v>
      </c>
      <c r="AG29" s="23">
        <f t="shared" si="3"/>
        <v>205690</v>
      </c>
    </row>
    <row r="30" spans="1:33" ht="15" thickBot="1" x14ac:dyDescent="0.35">
      <c r="A30" s="12">
        <v>27</v>
      </c>
      <c r="B30" s="24" t="s">
        <v>46</v>
      </c>
      <c r="C30" s="25">
        <v>41</v>
      </c>
      <c r="D30" s="27">
        <v>38</v>
      </c>
      <c r="E30" s="27">
        <v>46</v>
      </c>
      <c r="F30" s="27">
        <v>45</v>
      </c>
      <c r="G30" s="27">
        <v>40</v>
      </c>
      <c r="H30" s="27">
        <v>50</v>
      </c>
      <c r="I30" s="27">
        <v>37</v>
      </c>
      <c r="J30" s="27">
        <v>53</v>
      </c>
      <c r="K30" s="27">
        <v>53</v>
      </c>
      <c r="L30" s="26">
        <v>51</v>
      </c>
      <c r="M30" s="27">
        <v>48</v>
      </c>
      <c r="N30" s="27">
        <v>0</v>
      </c>
      <c r="O30" s="27">
        <v>51</v>
      </c>
      <c r="P30" s="28">
        <v>65</v>
      </c>
      <c r="Q30" s="27">
        <v>48</v>
      </c>
      <c r="R30" s="18">
        <f t="shared" si="0"/>
        <v>666</v>
      </c>
      <c r="S30" s="18">
        <v>190</v>
      </c>
      <c r="T30" s="19">
        <f t="shared" si="1"/>
        <v>126540</v>
      </c>
      <c r="U30" s="30">
        <v>2800</v>
      </c>
      <c r="V30" s="31">
        <v>500</v>
      </c>
      <c r="W30" s="31"/>
      <c r="X30" s="31"/>
      <c r="Y30" s="31"/>
      <c r="Z30" s="31"/>
      <c r="AA30" s="31"/>
      <c r="AB30" s="31"/>
      <c r="AC30" s="31"/>
      <c r="AD30" s="31"/>
      <c r="AE30" s="31">
        <v>10000</v>
      </c>
      <c r="AF30" s="22">
        <f t="shared" si="2"/>
        <v>13300</v>
      </c>
      <c r="AG30" s="23">
        <f t="shared" si="3"/>
        <v>113240</v>
      </c>
    </row>
    <row r="31" spans="1:33" ht="15" thickBot="1" x14ac:dyDescent="0.35">
      <c r="A31" s="12">
        <v>28</v>
      </c>
      <c r="B31" s="24" t="s">
        <v>47</v>
      </c>
      <c r="C31" s="25">
        <v>70</v>
      </c>
      <c r="D31" s="27">
        <v>90</v>
      </c>
      <c r="E31" s="27">
        <v>108</v>
      </c>
      <c r="F31" s="27">
        <v>103</v>
      </c>
      <c r="G31" s="27">
        <v>82</v>
      </c>
      <c r="H31" s="27">
        <v>91</v>
      </c>
      <c r="I31" s="27">
        <v>98</v>
      </c>
      <c r="J31" s="27">
        <v>90</v>
      </c>
      <c r="K31" s="27">
        <v>103</v>
      </c>
      <c r="L31" s="26">
        <v>103</v>
      </c>
      <c r="M31" s="27">
        <v>105</v>
      </c>
      <c r="N31" s="27">
        <v>90</v>
      </c>
      <c r="O31" s="27">
        <v>108</v>
      </c>
      <c r="P31" s="28">
        <v>107</v>
      </c>
      <c r="Q31" s="27">
        <v>105</v>
      </c>
      <c r="R31" s="18">
        <f t="shared" si="0"/>
        <v>1453</v>
      </c>
      <c r="S31" s="18">
        <v>190</v>
      </c>
      <c r="T31" s="19">
        <f t="shared" si="1"/>
        <v>276070</v>
      </c>
      <c r="U31" s="30">
        <v>0</v>
      </c>
      <c r="V31" s="31">
        <v>3000</v>
      </c>
      <c r="W31" s="31"/>
      <c r="X31" s="31">
        <v>600</v>
      </c>
      <c r="Y31" s="31"/>
      <c r="Z31" s="31"/>
      <c r="AA31" s="31"/>
      <c r="AB31" s="31"/>
      <c r="AC31" s="31"/>
      <c r="AD31" s="31"/>
      <c r="AE31" s="31">
        <v>100000</v>
      </c>
      <c r="AF31" s="22">
        <f t="shared" si="2"/>
        <v>103600</v>
      </c>
      <c r="AG31" s="23">
        <f t="shared" si="3"/>
        <v>172470</v>
      </c>
    </row>
    <row r="32" spans="1:33" ht="15" thickBot="1" x14ac:dyDescent="0.35">
      <c r="A32" s="12">
        <v>29</v>
      </c>
      <c r="B32" s="24" t="s">
        <v>48</v>
      </c>
      <c r="C32" s="25">
        <v>134</v>
      </c>
      <c r="D32" s="27">
        <v>67</v>
      </c>
      <c r="E32" s="27">
        <v>68</v>
      </c>
      <c r="F32" s="27">
        <v>85</v>
      </c>
      <c r="G32" s="27">
        <v>76</v>
      </c>
      <c r="H32" s="27">
        <v>61</v>
      </c>
      <c r="I32" s="27">
        <v>65</v>
      </c>
      <c r="J32" s="27">
        <v>70</v>
      </c>
      <c r="K32" s="27">
        <v>58</v>
      </c>
      <c r="L32" s="26">
        <v>33</v>
      </c>
      <c r="M32" s="27">
        <v>74</v>
      </c>
      <c r="N32" s="27">
        <v>20</v>
      </c>
      <c r="O32" s="27">
        <v>57</v>
      </c>
      <c r="P32" s="28">
        <v>75</v>
      </c>
      <c r="Q32" s="27">
        <v>73</v>
      </c>
      <c r="R32" s="18">
        <f t="shared" si="0"/>
        <v>1016</v>
      </c>
      <c r="S32" s="18">
        <v>200</v>
      </c>
      <c r="T32" s="19">
        <f t="shared" si="1"/>
        <v>203200</v>
      </c>
      <c r="U32" s="30">
        <v>10500</v>
      </c>
      <c r="V32" s="31">
        <v>1000</v>
      </c>
      <c r="W32" s="31"/>
      <c r="X32" s="31">
        <v>0</v>
      </c>
      <c r="Y32" s="31"/>
      <c r="Z32" s="31"/>
      <c r="AA32" s="31"/>
      <c r="AB32" s="31"/>
      <c r="AC32" s="31"/>
      <c r="AD32" s="31"/>
      <c r="AE32" s="31"/>
      <c r="AF32" s="22">
        <f t="shared" si="2"/>
        <v>11500</v>
      </c>
      <c r="AG32" s="23">
        <f t="shared" si="3"/>
        <v>191700</v>
      </c>
    </row>
    <row r="33" spans="1:33" ht="15" thickBot="1" x14ac:dyDescent="0.35">
      <c r="A33" s="12">
        <v>30</v>
      </c>
      <c r="B33" s="24" t="s">
        <v>49</v>
      </c>
      <c r="C33" s="25">
        <v>14</v>
      </c>
      <c r="D33" s="27">
        <v>15</v>
      </c>
      <c r="E33" s="27">
        <v>41</v>
      </c>
      <c r="F33" s="27">
        <v>23</v>
      </c>
      <c r="G33" s="27">
        <v>0</v>
      </c>
      <c r="H33" s="27">
        <v>0</v>
      </c>
      <c r="I33" s="27">
        <v>11</v>
      </c>
      <c r="J33" s="27">
        <v>27</v>
      </c>
      <c r="K33" s="27">
        <v>19</v>
      </c>
      <c r="L33" s="26">
        <v>21</v>
      </c>
      <c r="M33" s="27">
        <v>36</v>
      </c>
      <c r="N33" s="27">
        <v>32</v>
      </c>
      <c r="O33" s="27">
        <v>34</v>
      </c>
      <c r="P33" s="28">
        <v>41</v>
      </c>
      <c r="Q33" s="27">
        <v>11</v>
      </c>
      <c r="R33" s="18">
        <f t="shared" si="0"/>
        <v>325</v>
      </c>
      <c r="S33" s="18">
        <v>190</v>
      </c>
      <c r="T33" s="19">
        <f t="shared" si="1"/>
        <v>61750</v>
      </c>
      <c r="U33" s="30">
        <v>6500</v>
      </c>
      <c r="V33" s="31">
        <v>500</v>
      </c>
      <c r="W33" s="31"/>
      <c r="X33" s="31">
        <v>2300</v>
      </c>
      <c r="Y33" s="31"/>
      <c r="Z33" s="31"/>
      <c r="AA33" s="31"/>
      <c r="AB33" s="31"/>
      <c r="AC33" s="31"/>
      <c r="AD33" s="31"/>
      <c r="AE33" s="31"/>
      <c r="AF33" s="22">
        <f t="shared" si="2"/>
        <v>9300</v>
      </c>
      <c r="AG33" s="23">
        <f t="shared" si="3"/>
        <v>52450</v>
      </c>
    </row>
    <row r="34" spans="1:33" ht="15" thickBot="1" x14ac:dyDescent="0.35">
      <c r="A34" s="12">
        <v>31</v>
      </c>
      <c r="B34" s="24" t="s">
        <v>50</v>
      </c>
      <c r="C34" s="25">
        <v>37</v>
      </c>
      <c r="D34" s="27">
        <v>65</v>
      </c>
      <c r="E34" s="27">
        <v>38</v>
      </c>
      <c r="F34" s="27">
        <v>57</v>
      </c>
      <c r="G34" s="27">
        <v>62</v>
      </c>
      <c r="H34" s="27">
        <v>48</v>
      </c>
      <c r="I34" s="27">
        <v>68</v>
      </c>
      <c r="J34" s="27">
        <v>51</v>
      </c>
      <c r="K34" s="27">
        <v>35</v>
      </c>
      <c r="L34" s="26">
        <v>70</v>
      </c>
      <c r="M34" s="27">
        <v>61</v>
      </c>
      <c r="N34" s="27">
        <v>62</v>
      </c>
      <c r="O34" s="27">
        <v>70</v>
      </c>
      <c r="P34" s="28">
        <v>55</v>
      </c>
      <c r="Q34" s="26">
        <v>57</v>
      </c>
      <c r="R34" s="18">
        <f t="shared" si="0"/>
        <v>836</v>
      </c>
      <c r="S34" s="18">
        <v>190</v>
      </c>
      <c r="T34" s="19">
        <f t="shared" si="1"/>
        <v>158840</v>
      </c>
      <c r="U34" s="30">
        <v>7500</v>
      </c>
      <c r="V34" s="31">
        <v>1250</v>
      </c>
      <c r="W34" s="31"/>
      <c r="X34" s="31">
        <v>0</v>
      </c>
      <c r="Y34" s="31"/>
      <c r="Z34" s="31"/>
      <c r="AA34" s="31"/>
      <c r="AB34" s="31"/>
      <c r="AC34" s="31"/>
      <c r="AD34" s="31"/>
      <c r="AE34" s="31"/>
      <c r="AF34" s="22">
        <f t="shared" si="2"/>
        <v>8750</v>
      </c>
      <c r="AG34" s="23">
        <f t="shared" si="3"/>
        <v>150090</v>
      </c>
    </row>
    <row r="35" spans="1:33" ht="15" thickBot="1" x14ac:dyDescent="0.35">
      <c r="A35" s="12">
        <v>32</v>
      </c>
      <c r="B35" s="36" t="s">
        <v>51</v>
      </c>
      <c r="C35" s="37">
        <v>104</v>
      </c>
      <c r="D35" s="38">
        <v>155</v>
      </c>
      <c r="E35" s="38">
        <v>157</v>
      </c>
      <c r="F35" s="38">
        <v>0</v>
      </c>
      <c r="G35" s="38">
        <v>144</v>
      </c>
      <c r="H35" s="38">
        <v>157</v>
      </c>
      <c r="I35" s="38">
        <v>152</v>
      </c>
      <c r="J35" s="38">
        <v>173</v>
      </c>
      <c r="K35" s="38">
        <v>162</v>
      </c>
      <c r="L35" s="39">
        <v>167</v>
      </c>
      <c r="M35" s="38">
        <v>94</v>
      </c>
      <c r="N35" s="38">
        <v>152</v>
      </c>
      <c r="O35" s="38">
        <v>177</v>
      </c>
      <c r="P35" s="40">
        <v>178</v>
      </c>
      <c r="Q35" s="39">
        <v>152</v>
      </c>
      <c r="R35" s="18">
        <f t="shared" si="0"/>
        <v>2124</v>
      </c>
      <c r="S35" s="18">
        <v>190</v>
      </c>
      <c r="T35" s="19">
        <f t="shared" si="1"/>
        <v>403560</v>
      </c>
      <c r="U35" s="30"/>
      <c r="V35" s="31">
        <v>2000</v>
      </c>
      <c r="W35" s="31"/>
      <c r="X35" s="31">
        <v>1000</v>
      </c>
      <c r="Y35" s="31"/>
      <c r="Z35" s="31"/>
      <c r="AA35" s="31"/>
      <c r="AB35" s="31"/>
      <c r="AC35" s="31"/>
      <c r="AD35" s="31"/>
      <c r="AE35" s="31"/>
      <c r="AF35" s="22">
        <f t="shared" si="2"/>
        <v>3000</v>
      </c>
      <c r="AG35" s="23">
        <f t="shared" si="3"/>
        <v>400560</v>
      </c>
    </row>
    <row r="36" spans="1:33" ht="15" thickBot="1" x14ac:dyDescent="0.35">
      <c r="A36" s="12">
        <v>33</v>
      </c>
      <c r="B36" s="36" t="s">
        <v>52</v>
      </c>
      <c r="C36" s="37">
        <v>0</v>
      </c>
      <c r="D36" s="38">
        <v>0</v>
      </c>
      <c r="E36" s="38">
        <v>0</v>
      </c>
      <c r="F36" s="38">
        <v>0</v>
      </c>
      <c r="G36" s="38">
        <v>70</v>
      </c>
      <c r="H36" s="38">
        <v>69</v>
      </c>
      <c r="I36" s="38">
        <v>66</v>
      </c>
      <c r="J36" s="38">
        <v>123</v>
      </c>
      <c r="K36" s="38">
        <v>72</v>
      </c>
      <c r="L36" s="39">
        <v>131</v>
      </c>
      <c r="M36" s="38">
        <v>61</v>
      </c>
      <c r="N36" s="38">
        <v>52</v>
      </c>
      <c r="O36" s="38">
        <v>61</v>
      </c>
      <c r="P36" s="40">
        <v>66</v>
      </c>
      <c r="Q36" s="39">
        <v>40</v>
      </c>
      <c r="R36" s="18">
        <f t="shared" si="0"/>
        <v>811</v>
      </c>
      <c r="S36" s="18">
        <v>190</v>
      </c>
      <c r="T36" s="19">
        <f t="shared" si="1"/>
        <v>154090</v>
      </c>
      <c r="U36" s="30"/>
      <c r="V36" s="31">
        <v>0</v>
      </c>
      <c r="W36" s="31"/>
      <c r="X36" s="31"/>
      <c r="Y36" s="31"/>
      <c r="Z36" s="31"/>
      <c r="AA36" s="31"/>
      <c r="AB36" s="31"/>
      <c r="AC36" s="31"/>
      <c r="AD36" s="31"/>
      <c r="AE36" s="31"/>
      <c r="AF36" s="22">
        <f t="shared" si="2"/>
        <v>0</v>
      </c>
      <c r="AG36" s="23">
        <f t="shared" si="3"/>
        <v>154090</v>
      </c>
    </row>
    <row r="37" spans="1:33" ht="15" thickBot="1" x14ac:dyDescent="0.35">
      <c r="A37" s="12">
        <v>34</v>
      </c>
      <c r="B37" s="36" t="s">
        <v>53</v>
      </c>
      <c r="C37" s="37">
        <v>78</v>
      </c>
      <c r="D37" s="38">
        <v>60</v>
      </c>
      <c r="E37" s="38">
        <v>98</v>
      </c>
      <c r="F37" s="38">
        <v>102</v>
      </c>
      <c r="G37" s="38">
        <v>90</v>
      </c>
      <c r="H37" s="38">
        <v>119</v>
      </c>
      <c r="I37" s="38">
        <v>111</v>
      </c>
      <c r="J37" s="38">
        <v>111</v>
      </c>
      <c r="K37" s="38">
        <v>104</v>
      </c>
      <c r="L37" s="39">
        <v>106</v>
      </c>
      <c r="M37" s="38">
        <v>117</v>
      </c>
      <c r="N37" s="38">
        <v>111</v>
      </c>
      <c r="O37" s="38">
        <v>111</v>
      </c>
      <c r="P37" s="40">
        <v>101</v>
      </c>
      <c r="Q37" s="39">
        <v>99</v>
      </c>
      <c r="R37" s="18">
        <f t="shared" si="0"/>
        <v>1518</v>
      </c>
      <c r="S37" s="18">
        <v>190</v>
      </c>
      <c r="T37" s="19">
        <f t="shared" si="1"/>
        <v>288420</v>
      </c>
      <c r="U37" s="30"/>
      <c r="V37" s="31">
        <v>1500</v>
      </c>
      <c r="W37" s="31"/>
      <c r="X37" s="31"/>
      <c r="Y37" s="31"/>
      <c r="Z37" s="31"/>
      <c r="AA37" s="31"/>
      <c r="AB37" s="31"/>
      <c r="AC37" s="31"/>
      <c r="AD37" s="31"/>
      <c r="AE37" s="31">
        <v>100000</v>
      </c>
      <c r="AF37" s="22">
        <f t="shared" si="2"/>
        <v>101500</v>
      </c>
      <c r="AG37" s="23">
        <f t="shared" si="3"/>
        <v>186920</v>
      </c>
    </row>
    <row r="38" spans="1:33" ht="15" thickBot="1" x14ac:dyDescent="0.35">
      <c r="A38" s="12">
        <v>35</v>
      </c>
      <c r="B38" s="36" t="s">
        <v>54</v>
      </c>
      <c r="C38" s="37">
        <v>0</v>
      </c>
      <c r="D38" s="38">
        <v>0</v>
      </c>
      <c r="E38" s="38">
        <v>0</v>
      </c>
      <c r="F38" s="38">
        <v>52</v>
      </c>
      <c r="G38" s="38">
        <v>51</v>
      </c>
      <c r="H38" s="38">
        <v>62</v>
      </c>
      <c r="I38" s="38">
        <v>66</v>
      </c>
      <c r="J38" s="38">
        <v>57</v>
      </c>
      <c r="K38" s="38">
        <v>42</v>
      </c>
      <c r="L38" s="39">
        <v>77</v>
      </c>
      <c r="M38" s="38">
        <v>76</v>
      </c>
      <c r="N38" s="38">
        <v>76</v>
      </c>
      <c r="O38" s="38">
        <v>77</v>
      </c>
      <c r="P38" s="40">
        <v>74</v>
      </c>
      <c r="Q38" s="39">
        <v>58</v>
      </c>
      <c r="R38" s="18">
        <f t="shared" si="0"/>
        <v>768</v>
      </c>
      <c r="S38" s="18">
        <v>190</v>
      </c>
      <c r="T38" s="19">
        <f t="shared" si="1"/>
        <v>145920</v>
      </c>
      <c r="U38" s="30"/>
      <c r="V38" s="31">
        <v>1500</v>
      </c>
      <c r="W38" s="31"/>
      <c r="X38" s="31">
        <v>13700</v>
      </c>
      <c r="Y38" s="31"/>
      <c r="Z38" s="31"/>
      <c r="AA38" s="31"/>
      <c r="AB38" s="31"/>
      <c r="AC38" s="31"/>
      <c r="AD38" s="31"/>
      <c r="AE38" s="31">
        <v>70000</v>
      </c>
      <c r="AF38" s="22">
        <f t="shared" si="2"/>
        <v>85200</v>
      </c>
      <c r="AG38" s="23">
        <f t="shared" si="3"/>
        <v>60720</v>
      </c>
    </row>
    <row r="39" spans="1:33" ht="15" thickBot="1" x14ac:dyDescent="0.35">
      <c r="A39" s="12">
        <v>36</v>
      </c>
      <c r="B39" s="36"/>
      <c r="C39" s="37"/>
      <c r="D39" s="38"/>
      <c r="E39" s="38"/>
      <c r="F39" s="38"/>
      <c r="G39" s="38"/>
      <c r="H39" s="38"/>
      <c r="I39" s="38"/>
      <c r="J39" s="38"/>
      <c r="K39" s="38"/>
      <c r="L39" s="39"/>
      <c r="M39" s="38"/>
      <c r="N39" s="38"/>
      <c r="O39" s="38"/>
      <c r="P39" s="40"/>
      <c r="Q39" s="39"/>
      <c r="R39" s="41">
        <f t="shared" si="0"/>
        <v>0</v>
      </c>
      <c r="S39" s="18">
        <v>190</v>
      </c>
      <c r="T39" s="42">
        <f t="shared" si="1"/>
        <v>0</v>
      </c>
      <c r="U39" s="43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>
        <f t="shared" si="2"/>
        <v>0</v>
      </c>
      <c r="AG39" s="46">
        <f t="shared" si="3"/>
        <v>0</v>
      </c>
    </row>
    <row r="40" spans="1:33" ht="15" thickBot="1" x14ac:dyDescent="0.35">
      <c r="A40" s="47"/>
      <c r="B40" s="48" t="s">
        <v>55</v>
      </c>
      <c r="C40" s="49">
        <f>SUM(C4:C39)</f>
        <v>4394</v>
      </c>
      <c r="D40" s="49">
        <f t="shared" ref="D40:R40" si="4">SUM(D4:D39)</f>
        <v>4903</v>
      </c>
      <c r="E40" s="49">
        <f t="shared" si="4"/>
        <v>5306</v>
      </c>
      <c r="F40" s="49">
        <f t="shared" si="4"/>
        <v>5562</v>
      </c>
      <c r="G40" s="49">
        <f t="shared" si="4"/>
        <v>5399</v>
      </c>
      <c r="H40" s="49">
        <f t="shared" si="4"/>
        <v>5436</v>
      </c>
      <c r="I40" s="49">
        <f t="shared" si="4"/>
        <v>5538</v>
      </c>
      <c r="J40" s="49">
        <f t="shared" si="4"/>
        <v>5439</v>
      </c>
      <c r="K40" s="49">
        <f t="shared" si="4"/>
        <v>5314</v>
      </c>
      <c r="L40" s="49">
        <f t="shared" si="4"/>
        <v>5409</v>
      </c>
      <c r="M40" s="49">
        <f t="shared" si="4"/>
        <v>5474</v>
      </c>
      <c r="N40" s="49">
        <f t="shared" si="4"/>
        <v>5569</v>
      </c>
      <c r="O40" s="49">
        <f t="shared" si="4"/>
        <v>5625</v>
      </c>
      <c r="P40" s="49">
        <f t="shared" si="4"/>
        <v>5682</v>
      </c>
      <c r="Q40" s="49">
        <f t="shared" si="4"/>
        <v>5635</v>
      </c>
      <c r="R40" s="49">
        <f t="shared" si="4"/>
        <v>80685</v>
      </c>
      <c r="S40" s="50"/>
      <c r="T40" s="51">
        <f t="shared" si="1"/>
        <v>0</v>
      </c>
      <c r="U40" s="52">
        <f>SUM(U4:U39)</f>
        <v>102100</v>
      </c>
      <c r="V40" s="52">
        <f t="shared" ref="V40:AG40" si="5">SUM(V4:V39)</f>
        <v>58850</v>
      </c>
      <c r="W40" s="52">
        <f t="shared" si="5"/>
        <v>25900</v>
      </c>
      <c r="X40" s="52">
        <f t="shared" si="5"/>
        <v>167400</v>
      </c>
      <c r="Y40" s="52">
        <f t="shared" si="5"/>
        <v>0</v>
      </c>
      <c r="Z40" s="52">
        <f t="shared" si="5"/>
        <v>0</v>
      </c>
      <c r="AA40" s="52">
        <f t="shared" si="5"/>
        <v>0</v>
      </c>
      <c r="AB40" s="52">
        <f t="shared" si="5"/>
        <v>0</v>
      </c>
      <c r="AC40" s="52">
        <f t="shared" si="5"/>
        <v>0</v>
      </c>
      <c r="AD40" s="52">
        <f t="shared" si="5"/>
        <v>0</v>
      </c>
      <c r="AE40" s="52">
        <f t="shared" si="5"/>
        <v>420000</v>
      </c>
      <c r="AF40" s="52">
        <f t="shared" si="5"/>
        <v>774250</v>
      </c>
      <c r="AG40" s="53">
        <f t="shared" si="5"/>
        <v>14576100</v>
      </c>
    </row>
  </sheetData>
  <mergeCells count="3">
    <mergeCell ref="C2:T2"/>
    <mergeCell ref="U2:AF2"/>
    <mergeCell ref="AG2:A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Niyobyiringiro Pierre Corneille</dc:creator>
  <cp:lastModifiedBy>Niyobyiringiro Pierre Corneille</cp:lastModifiedBy>
  <dcterms:created xsi:type="dcterms:W3CDTF">2025-10-13T08:08:53Z</dcterms:created>
  <dcterms:modified xsi:type="dcterms:W3CDTF">2025-10-13T08:09:54Z</dcterms:modified>
</cp:coreProperties>
</file>